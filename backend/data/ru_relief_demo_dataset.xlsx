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nfig" sheetId="2" state="visible" r:id="rId4"/>
    <sheet name="Locations" sheetId="3" state="visible" r:id="rId5"/>
    <sheet name="Products" sheetId="4" state="visible" r:id="rId6"/>
    <sheet name="Inventory" sheetId="5" state="visible" r:id="rId7"/>
    <sheet name="Verification_Reports" sheetId="6" state="visible" r:id="rId8"/>
    <sheet name="Reservations" sheetId="7" state="visible" r:id="rId9"/>
    <sheet name="Distance_Matrix" sheetId="8" state="visible" r:id="rId10"/>
    <sheet name="Admin_Summary" sheetId="9" state="visible" r:id="rId11"/>
    <sheet name="Scenarios" sheetId="10" state="visible" r:id="rId12"/>
    <sheet name="Health_Escalation" sheetId="11" state="visible" r:id="rId13"/>
    <sheet name="Sources" sheetId="12" state="visible" r:id="rId14"/>
    <sheet name="Codebook" sheetId="13" state="visible" r:id="rId15"/>
  </sheets>
  <definedNames>
    <definedName function="false" hidden="true" localSheetId="12" name="_xlnm._FilterDatabase" vbProcedure="false">Codebook!$A$1:$F$52</definedName>
    <definedName function="false" hidden="true" localSheetId="4" name="_xlnm._FilterDatabase" vbProcedure="false">Inventory!$A$1:$V$225</definedName>
    <definedName function="false" hidden="true" localSheetId="2" name="_xlnm._FilterDatabase" vbProcedure="false">Locations!$A$1:$Z$9</definedName>
    <definedName function="false" hidden="true" localSheetId="3" name="_xlnm._FilterDatabase" vbProcedure="false">Products!$A$1:$L$29</definedName>
    <definedName function="false" hidden="true" localSheetId="6" name="_xlnm._FilterDatabase" vbProcedure="false">Reservations!$A$1:$O$11</definedName>
    <definedName function="false" hidden="true" localSheetId="5" name="_xlnm._FilterDatabase" vbProcedure="false">Verification_Reports!$A$1:$Q$21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E7" authorId="0">
      <text>
        <r>
          <rPr>
            <sz val="10"/>
            <rFont val="Arial"/>
            <family val="2"/>
          </rPr>
          <t xml:space="preserve">Cook Cafe coordinates were not available from Rutgers' pages. Geocode with the Google Maps API.</t>
        </r>
      </text>
      <mc:AlternateContent>
        <mc:Choice Requires="v2">
          <commentPr autoFill="true" autoScale="false" colHidden="false" locked="false" rowHidden="false" textHAlign="justify" textVAlign="top">
            <anchor moveWithCells="false" sizeWithCells="false">
              <xdr:from>
                <xdr:col>1</xdr:col>
                <xdr:colOff>5</xdr:colOff>
                <xdr:row>0</xdr:row>
                <xdr:rowOff>2</xdr:rowOff>
              </xdr:from>
              <xdr:to>
                <xdr:col>2</xdr:col>
                <xdr:colOff>1</xdr:colOff>
                <xdr:row>1</xdr:row>
                <xdr:rowOff>39</xdr:rowOff>
              </xdr:to>
            </anchor>
          </commentPr>
        </mc:Choice>
        <mc:Fallback/>
      </mc:AlternateContent>
    </comment>
  </commentList>
</comments>
</file>

<file path=xl/sharedStrings.xml><?xml version="1.0" encoding="utf-8"?>
<sst xmlns="http://schemas.openxmlformats.org/spreadsheetml/2006/main" count="3038" uniqueCount="1077">
  <si>
    <t xml:space="preserve">RU Relief - demo dataset</t>
  </si>
  <si>
    <t xml:space="preserve">Built 2026-10-10 for HackRU. Rutgers-New Brunswick only: College Avenue, Busch, Livingston, Cook/Douglass.</t>
  </si>
  <si>
    <t xml:space="preserve">READ THIS FIRST</t>
  </si>
  <si>
    <t xml:space="preserve">REAL</t>
  </si>
  <si>
    <t xml:space="preserve">Location names, hours, swipe policy ($10 value, 3/day), RU Express acceptance, health-center and nurse-line contacts. Checked against Rutgers pages on 2026-10-10 (see Sources).</t>
  </si>
  <si>
    <t xml:space="preserve">SIMULATED</t>
  </si>
  <si>
    <t xml:space="preserve">ALL inventory, confidence levels, reports, reservations, pickup codes. They describe a PROPOSED campus health-supply program.</t>
  </si>
  <si>
    <t xml:space="preserve">NOT TRUE TODAY</t>
  </si>
  <si>
    <t xml:space="preserve">No listed location is known to sell medicine, and meal swipes cannot buy medicine as far as I could verify. Never present this data as Rutgers' real stock. Label it in the demo.</t>
  </si>
  <si>
    <t xml:space="preserve">Known gaps</t>
  </si>
  <si>
    <t xml:space="preserve">1) Cook Cafe: location and hours unverified (missing from the current Rutgers Dining hours page) and no coordinates. 2) Coordinates are approximate (Henry's Diner and Woody's embeds are zoomed out). 3) Weekend hours for Cafe West, Kilmer's, Henry's, Harvest, Woody's and Douglass are not listed by Rutgers (left blank). 4) Product caution text is general OTC knowledge, not reviewed by a pharmacist.</t>
  </si>
  <si>
    <t xml:space="preserve">Left out on purpose</t>
  </si>
  <si>
    <t xml:space="preserve">Condoms and emergency contraception (RU Wrapped already covers them; easy to add). Pharmacies and off-campus stores (your scope). Dorm lists (privacy). Stockout history (you chose none). Delivery and couriers (you faded them). Real bus times (use Rutgers bus data/Google Maps API).</t>
  </si>
  <si>
    <t xml:space="preserve">How to demo time passing</t>
  </si>
  <si>
    <t xml:space="preserve">Edit Config!B2 (DEMO_NOW). Reports older than their validity turn 'Stale report', reservations auto-expire, and Admin_Summary updates.</t>
  </si>
  <si>
    <t xml:space="preserve">Size</t>
  </si>
  <si>
    <t xml:space="preserve">8 locations, 28 products, 224 inventory rows (144 proposed, rest 'Not stocked in proposal'), 20 reports, 10 reservations, 12 scenarios.</t>
  </si>
  <si>
    <t xml:space="preserve">Colors</t>
  </si>
  <si>
    <t xml:space="preserve">Blue text = input values. Black = formulas. Green = lookups from another sheet. Yellow fill = edit me. Header row is row 1 on data sheets so you can import them straight into SQLite/Flask.</t>
  </si>
  <si>
    <t xml:space="preserve">Tabs</t>
  </si>
  <si>
    <t xml:space="preserve">Config</t>
  </si>
  <si>
    <t xml:space="preserve">Demo clock, validity windows, reservation length, geofence radius, swipe policy numbers, suggested ranking weights.</t>
  </si>
  <si>
    <t xml:space="preserve">Locations</t>
  </si>
  <si>
    <t xml:space="preserve">8 real retail locations with hours and swipe info.</t>
  </si>
  <si>
    <t xml:space="preserve">Products</t>
  </si>
  <si>
    <t xml:space="preserve">28 branded OTC items with plain-language definitions.</t>
  </si>
  <si>
    <t xml:space="preserve">Inventory</t>
  </si>
  <si>
    <t xml:space="preserve">224 simulated stock records with confidence and expiry formulas.</t>
  </si>
  <si>
    <t xml:space="preserve">Verification_Reports</t>
  </si>
  <si>
    <t xml:space="preserve">20 sample reports with geofence and photo review outcomes.</t>
  </si>
  <si>
    <t xml:space="preserve">Reservations</t>
  </si>
  <si>
    <t xml:space="preserve">10 sample holds with 75-minute auto-expiry.</t>
  </si>
  <si>
    <t xml:space="preserve">Distance_Matrix</t>
  </si>
  <si>
    <t xml:space="preserve">Straight-line distance and rough walk time between locations.</t>
  </si>
  <si>
    <t xml:space="preserve">Admin_Summary</t>
  </si>
  <si>
    <t xml:space="preserve">Counts by zone, restock alerts, stale reports, reservation states.</t>
  </si>
  <si>
    <t xml:space="preserve">Scenarios</t>
  </si>
  <si>
    <t xml:space="preserve">12 demo scripts tied to specific records.</t>
  </si>
  <si>
    <t xml:space="preserve">Health_Escalation</t>
  </si>
  <si>
    <t xml:space="preserve">Real Rutgers contacts for the app's 'get real help' path.</t>
  </si>
  <si>
    <t xml:space="preserve">Sources</t>
  </si>
  <si>
    <t xml:space="preserve">Where each real fact came from.</t>
  </si>
  <si>
    <t xml:space="preserve">Codebook</t>
  </si>
  <si>
    <t xml:space="preserve">Every field: meaning, allowed values, and whether it is verified, simulated or derived.</t>
  </si>
  <si>
    <t xml:space="preserve">parameter</t>
  </si>
  <si>
    <t xml:space="preserve">value</t>
  </si>
  <si>
    <t xml:space="preserve">unit</t>
  </si>
  <si>
    <t xml:space="preserve">basis</t>
  </si>
  <si>
    <t xml:space="preserve">status</t>
  </si>
  <si>
    <t xml:space="preserve">Yellow cells with blue text are the inputs to edit. Everything else recalculates.</t>
  </si>
  <si>
    <t xml:space="preserve">DEMO_NOW (simulated current time)</t>
  </si>
  <si>
    <t xml:space="preserve">datetime</t>
  </si>
  <si>
    <t xml:space="preserve">Fixed demo clock (a Tuesday, 3:00 PM). Change it to watch reports go stale and reservations expire.</t>
  </si>
  <si>
    <t xml:space="preserve">Demo setting</t>
  </si>
  <si>
    <t xml:space="preserve">student_report_validity_min</t>
  </si>
  <si>
    <t xml:space="preserve">minutes</t>
  </si>
  <si>
    <t xml:space="preserve">Student report stays trusted for 60 minutes (value recommended in the ChatGPT planning notes; no objection recorded).</t>
  </si>
  <si>
    <t xml:space="preserve">Proposed default</t>
  </si>
  <si>
    <t xml:space="preserve">staff_report_validity_min</t>
  </si>
  <si>
    <t xml:space="preserve">Staff report stays trusted for 4 hours (same source).</t>
  </si>
  <si>
    <t xml:space="preserve">reservation_minutes</t>
  </si>
  <si>
    <t xml:space="preserve">You asked for 60-90 minutes; 75 is the midpoint.</t>
  </si>
  <si>
    <t xml:space="preserve">geofence_radius_m</t>
  </si>
  <si>
    <t xml:space="preserve">meters</t>
  </si>
  <si>
    <t xml:space="preserve">Distance within which a student's phone location must be to confirm a report. My assumption; tune with real GPS error.</t>
  </si>
  <si>
    <t xml:space="preserve">Assumption</t>
  </si>
  <si>
    <t xml:space="preserve">meal_swipe_retail_value_usd</t>
  </si>
  <si>
    <t xml:space="preserve">USD</t>
  </si>
  <si>
    <t xml:space="preserve">Rutgers retail policy: a meal swipe at retail is a $10 meal value.</t>
  </si>
  <si>
    <t xml:space="preserve">Verified (food.rutgers.edu/policies/retail)</t>
  </si>
  <si>
    <t xml:space="preserve">retail_swipe_daily_limit</t>
  </si>
  <si>
    <t xml:space="preserve">swipes/day</t>
  </si>
  <si>
    <t xml:space="preserve">Rutgers retail policy: 3 swipes/day across retail and dining-hall takeout.</t>
  </si>
  <si>
    <t xml:space="preserve">Verified (same page)</t>
  </si>
  <si>
    <t xml:space="preserve">walking_speed_kmh</t>
  </si>
  <si>
    <t xml:space="preserve">km/h</t>
  </si>
  <si>
    <t xml:space="preserve">Typical walking pace used for the rough walk-time estimate. Replace with Google Maps API times.</t>
  </si>
  <si>
    <t xml:space="preserve">route_detour_factor</t>
  </si>
  <si>
    <t xml:space="preserve">multiplier</t>
  </si>
  <si>
    <t xml:space="preserve">Straight-line distance x 1.3 approximates a walking route. Replace with Google Maps API.</t>
  </si>
  <si>
    <t xml:space="preserve">weight_availability</t>
  </si>
  <si>
    <t xml:space="preserve">weight</t>
  </si>
  <si>
    <t xml:space="preserve">Suggested ranking weights for the app (not used by formulas in this workbook).</t>
  </si>
  <si>
    <t xml:space="preserve">Suggested default</t>
  </si>
  <si>
    <t xml:space="preserve">weight_confidence</t>
  </si>
  <si>
    <t xml:space="preserve">Same.</t>
  </si>
  <si>
    <t xml:space="preserve">weight_proximity</t>
  </si>
  <si>
    <t xml:space="preserve">weight_open_hours</t>
  </si>
  <si>
    <t xml:space="preserve">stale_penalty</t>
  </si>
  <si>
    <t xml:space="preserve">score deduction</t>
  </si>
  <si>
    <t xml:space="preserve">Subtract from a result's score when its report is stale.</t>
  </si>
  <si>
    <t xml:space="preserve">location_id</t>
  </si>
  <si>
    <t xml:space="preserve">location_name</t>
  </si>
  <si>
    <t xml:space="preserve">campus_zone</t>
  </si>
  <si>
    <t xml:space="preserve">site_description</t>
  </si>
  <si>
    <t xml:space="preserve">latitude</t>
  </si>
  <si>
    <t xml:space="preserve">longitude</t>
  </si>
  <si>
    <t xml:space="preserve">coordinate_note</t>
  </si>
  <si>
    <t xml:space="preserve">location_type</t>
  </si>
  <si>
    <t xml:space="preserve">meal_swipe_eligible_today</t>
  </si>
  <si>
    <t xml:space="preserve">ru_express_accepted_today</t>
  </si>
  <si>
    <t xml:space="preserve">swipe_notes</t>
  </si>
  <si>
    <t xml:space="preserve">hours_basis</t>
  </si>
  <si>
    <t xml:space="preserve">mon_thu_open</t>
  </si>
  <si>
    <t xml:space="preserve">mon_thu_close</t>
  </si>
  <si>
    <t xml:space="preserve">fri_open</t>
  </si>
  <si>
    <t xml:space="preserve">fri_close</t>
  </si>
  <si>
    <t xml:space="preserve">sat_open</t>
  </si>
  <si>
    <t xml:space="preserve">sat_close</t>
  </si>
  <si>
    <t xml:space="preserve">sun_open</t>
  </si>
  <si>
    <t xml:space="preserve">sun_close</t>
  </si>
  <si>
    <t xml:space="preserve">proposed_health_section</t>
  </si>
  <si>
    <t xml:space="preserve">reservation_supported</t>
  </si>
  <si>
    <t xml:space="preserve">staff_verification_supported</t>
  </si>
  <si>
    <t xml:space="preserve">student_verification_supported</t>
  </si>
  <si>
    <t xml:space="preserve">product_tier</t>
  </si>
  <si>
    <t xml:space="preserve">verification_notes</t>
  </si>
  <si>
    <t xml:space="preserve">L01</t>
  </si>
  <si>
    <t xml:space="preserve">The Atrium</t>
  </si>
  <si>
    <t xml:space="preserve">College Avenue</t>
  </si>
  <si>
    <t xml:space="preserve">College Avenue Student Center (lower level), 126 College Ave</t>
  </si>
  <si>
    <t xml:space="preserve">Google Maps embed on Rutgers Dining page (approx.)</t>
  </si>
  <si>
    <t xml:space="preserve">Retail food court</t>
  </si>
  <si>
    <t xml:space="preserve">Yes</t>
  </si>
  <si>
    <t xml:space="preserve">Up to 3 swipes before 9 PM that do not count toward the daily retail limit; after 9 PM swipes count toward the 3/day retail limit.</t>
  </si>
  <si>
    <t xml:space="preserve">Dine-in and takeout share the same hours.</t>
  </si>
  <si>
    <t xml:space="preserve">07:00</t>
  </si>
  <si>
    <t xml:space="preserve">24:00</t>
  </si>
  <si>
    <t xml:space="preserve">21:00</t>
  </si>
  <si>
    <t xml:space="preserve">09:30</t>
  </si>
  <si>
    <t xml:space="preserve">20:00</t>
  </si>
  <si>
    <t xml:space="preserve">Proposed (not available today)</t>
  </si>
  <si>
    <t xml:space="preserve">Prototype</t>
  </si>
  <si>
    <t xml:space="preserve">Yes (prototype)</t>
  </si>
  <si>
    <t xml:space="preserve">Full</t>
  </si>
  <si>
    <t xml:space="preserve">Hours and swipe policy checked on food.rutgers.edu 2026-10-10.</t>
  </si>
  <si>
    <t xml:space="preserve">L02</t>
  </si>
  <si>
    <t xml:space="preserve">Cafe West</t>
  </si>
  <si>
    <t xml:space="preserve">Academic Building west wing, College Ave campus</t>
  </si>
  <si>
    <t xml:space="preserve">Cafe</t>
  </si>
  <si>
    <t xml:space="preserve">Retail swipe: $10 meal value, 3/day across retail and dining-hall takeout.</t>
  </si>
  <si>
    <t xml:space="preserve">Weekend hours not listed by Rutgers Dining (a Daily Targum editorial says closed on weekends).</t>
  </si>
  <si>
    <t xml:space="preserve">09:00</t>
  </si>
  <si>
    <t xml:space="preserve">23:00</t>
  </si>
  <si>
    <t xml:space="preserve">Building description comes from a Daily Targum editorial, not from Rutgers Dining.</t>
  </si>
  <si>
    <t xml:space="preserve">L03</t>
  </si>
  <si>
    <t xml:space="preserve">Kilmer's Market</t>
  </si>
  <si>
    <t xml:space="preserve">Livingston</t>
  </si>
  <si>
    <t xml:space="preserve">Livingston campus (exact building not stated on Rutgers Dining page)</t>
  </si>
  <si>
    <t xml:space="preserve">Retail market</t>
  </si>
  <si>
    <t xml:space="preserve">Retail swipe: $10 meal value, 3/day. Rutgers says swipes are accepted all day.</t>
  </si>
  <si>
    <t xml:space="preserve">Weekend hours not listed by Rutgers Dining.</t>
  </si>
  <si>
    <t xml:space="preserve">11:00</t>
  </si>
  <si>
    <t xml:space="preserve">Rutgers Dining says Kilmer's sells toiletries, school supplies and grocery items today; it does not list medicine. Online ordering recommended by Rutgers.</t>
  </si>
  <si>
    <t xml:space="preserve">L04</t>
  </si>
  <si>
    <t xml:space="preserve">Henry's Diner</t>
  </si>
  <si>
    <t xml:space="preserve">The Plaza at Livingston</t>
  </si>
  <si>
    <t xml:space="preserve">Google Maps embed on Rutgers Dining page (zoomed out; lower precision)</t>
  </si>
  <si>
    <t xml:space="preserve">Diner</t>
  </si>
  <si>
    <t xml:space="preserve">Retail swipe: $10 meal value, 3/day. Rutgers says swipes accepted at all times.</t>
  </si>
  <si>
    <t xml:space="preserve">Takeout window shown (10:00-18:00 weekdays); dine-in is 11:00-18:00.</t>
  </si>
  <si>
    <t xml:space="preserve">10:00</t>
  </si>
  <si>
    <t xml:space="preserve">18:00</t>
  </si>
  <si>
    <t xml:space="preserve">Core</t>
  </si>
  <si>
    <t xml:space="preserve">Weekdays only.</t>
  </si>
  <si>
    <t xml:space="preserve">L05</t>
  </si>
  <si>
    <t xml:space="preserve">Harvest Juice Bar</t>
  </si>
  <si>
    <t xml:space="preserve">Busch</t>
  </si>
  <si>
    <t xml:space="preserve">Busch Student Center, 604 Bartholomew Rd</t>
  </si>
  <si>
    <t xml:space="preserve">Juice bar / snacks</t>
  </si>
  <si>
    <t xml:space="preserve">Retail swipe: $10 meal value, 3/day.</t>
  </si>
  <si>
    <t xml:space="preserve">15:30</t>
  </si>
  <si>
    <t xml:space="preserve">Small counter; the least realistic site for a shelf (kept because it was in the agreed location list).</t>
  </si>
  <si>
    <t xml:space="preserve">L06</t>
  </si>
  <si>
    <t xml:space="preserve">Woody's Cafe</t>
  </si>
  <si>
    <t xml:space="preserve">Kessler Teaching Building</t>
  </si>
  <si>
    <t xml:space="preserve">07:30</t>
  </si>
  <si>
    <t xml:space="preserve">Reddit users (per the ChatGPT research notes) mentioned limited supplies here; not verified by this workbook.</t>
  </si>
  <si>
    <t xml:space="preserve">L07</t>
  </si>
  <si>
    <t xml:space="preserve">Cook Cafe</t>
  </si>
  <si>
    <t xml:space="preserve">Cook/Douglass</t>
  </si>
  <si>
    <t xml:space="preserve">UNVERIFIED: assumed Cook Student Center, 59 Biel Rd</t>
  </si>
  <si>
    <t xml:space="preserve">NO COORDINATES - geocode with Google Maps API once the location is confirmed</t>
  </si>
  <si>
    <t xml:space="preserve">Listed as meal-swipe eligible on the Rutgers retail policy page and as accepting RU Express (Feb 2026 list).</t>
  </si>
  <si>
    <t xml:space="preserve">UNVERIFIED: Cook Cafe is not on the current Rutgers Dining hours page. Cook Student Center itself is open 12:00-24:00 daily (verified).</t>
  </si>
  <si>
    <t xml:space="preserve">Conflicting sources: retail policy page and RU Express list include it; the hours page does not. Confirm it is still operating before the demo.</t>
  </si>
  <si>
    <t xml:space="preserve">L08</t>
  </si>
  <si>
    <t xml:space="preserve">Douglass Cafe</t>
  </si>
  <si>
    <t xml:space="preserve">Douglass Student Center, 100 George St</t>
  </si>
  <si>
    <t xml:space="preserve">Google Maps embed on Rutgers Dining page (Douglass Student Center)</t>
  </si>
  <si>
    <t xml:space="preserve">08:00</t>
  </si>
  <si>
    <t xml:space="preserve">16:00</t>
  </si>
  <si>
    <t xml:space="preserve">Hours checked on food.rutgers.edu 2026-10-10.</t>
  </si>
  <si>
    <t xml:space="preserve">product_id</t>
  </si>
  <si>
    <t xml:space="preserve">product_name</t>
  </si>
  <si>
    <t xml:space="preserve">category</t>
  </si>
  <si>
    <t xml:space="preserve">active_ingredient_or_type</t>
  </si>
  <si>
    <t xml:space="preserve">simple_definition</t>
  </si>
  <si>
    <t xml:space="preserve">typical_use</t>
  </si>
  <si>
    <t xml:space="preserve">label_caution</t>
  </si>
  <si>
    <t xml:space="preserve">quantity_limit_per_transaction</t>
  </si>
  <si>
    <t xml:space="preserve">requires_staff_assistance</t>
  </si>
  <si>
    <t xml:space="preserve">retail_swipe_status</t>
  </si>
  <si>
    <t xml:space="preserve">data_basis</t>
  </si>
  <si>
    <t xml:space="preserve">P01</t>
  </si>
  <si>
    <t xml:space="preserve">Tylenol Extra Strength</t>
  </si>
  <si>
    <t xml:space="preserve">Pain &amp; fever</t>
  </si>
  <si>
    <t xml:space="preserve">Acetaminophen</t>
  </si>
  <si>
    <t xml:space="preserve">Pain reliever and fever reducer</t>
  </si>
  <si>
    <t xml:space="preserve">Headaches, body aches, and fever</t>
  </si>
  <si>
    <t xml:space="preserve">Liver warning: do not combine with other acetaminophen products.</t>
  </si>
  <si>
    <t xml:space="preserve">1 package</t>
  </si>
  <si>
    <t xml:space="preserve">No</t>
  </si>
  <si>
    <t xml:space="preserve">proposed_pending_approval</t>
  </si>
  <si>
    <t xml:space="preserve">Standard OTC label basics; confirm against the current package and a pharmacist before real use.</t>
  </si>
  <si>
    <t xml:space="preserve">P02</t>
  </si>
  <si>
    <t xml:space="preserve">Advil</t>
  </si>
  <si>
    <t xml:space="preserve">Ibuprofen (NSAID)</t>
  </si>
  <si>
    <t xml:space="preserve">Headaches, muscle pain, menstrual cramps, and fever</t>
  </si>
  <si>
    <t xml:space="preserve">Can irritate the stomach. Ask a pharmacist if you take blood thinners or have stomach, kidney, or heart conditions.</t>
  </si>
  <si>
    <t xml:space="preserve">P03</t>
  </si>
  <si>
    <t xml:space="preserve">Aleve</t>
  </si>
  <si>
    <t xml:space="preserve">Naproxen sodium (NSAID)</t>
  </si>
  <si>
    <t xml:space="preserve">Longer-lasting NSAID pain reliever</t>
  </si>
  <si>
    <t xml:space="preserve">Aches, cramps, and minor joint pain</t>
  </si>
  <si>
    <t xml:space="preserve">Extended</t>
  </si>
  <si>
    <t xml:space="preserve">P04</t>
  </si>
  <si>
    <t xml:space="preserve">Excedrin Migraine</t>
  </si>
  <si>
    <t xml:space="preserve">Acetaminophen + aspirin + caffeine</t>
  </si>
  <si>
    <t xml:space="preserve">Combination headache reliever</t>
  </si>
  <si>
    <t xml:space="preserve">Headaches, including migraine</t>
  </si>
  <si>
    <t xml:space="preserve">Contains aspirin and caffeine. Check the label for age limits and allergies.</t>
  </si>
  <si>
    <t xml:space="preserve">P05</t>
  </si>
  <si>
    <t xml:space="preserve">Halls Mentho-Lyptus</t>
  </si>
  <si>
    <t xml:space="preserve">Cold &amp; cough</t>
  </si>
  <si>
    <t xml:space="preserve">Menthol throat lozenge</t>
  </si>
  <si>
    <t xml:space="preserve">Throat lozenge (cough drop)</t>
  </si>
  <si>
    <t xml:space="preserve">Temporary relief of a sore or irritated throat and cough</t>
  </si>
  <si>
    <t xml:space="preserve">Follow label directions.</t>
  </si>
  <si>
    <t xml:space="preserve">2 bags</t>
  </si>
  <si>
    <t xml:space="preserve">P06</t>
  </si>
  <si>
    <t xml:space="preserve">Ricola Original Natural Herb</t>
  </si>
  <si>
    <t xml:space="preserve">Herbal throat lozenge</t>
  </si>
  <si>
    <t xml:space="preserve">Herbal throat lozenge (cough drop)</t>
  </si>
  <si>
    <t xml:space="preserve">Soothing a scratchy throat</t>
  </si>
  <si>
    <t xml:space="preserve">P07</t>
  </si>
  <si>
    <t xml:space="preserve">Chloraseptic Sore Throat Spray</t>
  </si>
  <si>
    <t xml:space="preserve">Phenol (oral anesthetic) spray</t>
  </si>
  <si>
    <t xml:space="preserve">Numbing throat spray</t>
  </si>
  <si>
    <t xml:space="preserve">Short-term sore throat pain relief</t>
  </si>
  <si>
    <t xml:space="preserve">1 bottle</t>
  </si>
  <si>
    <t xml:space="preserve">P08</t>
  </si>
  <si>
    <t xml:space="preserve">Mucinex</t>
  </si>
  <si>
    <t xml:space="preserve">Guaifenesin (expectorant)</t>
  </si>
  <si>
    <t xml:space="preserve">Expectorant that helps loosen mucus</t>
  </si>
  <si>
    <t xml:space="preserve">Chest congestion and mucus</t>
  </si>
  <si>
    <t xml:space="preserve">Check the label if you take other cold products with the same ingredient.</t>
  </si>
  <si>
    <t xml:space="preserve">P09</t>
  </si>
  <si>
    <t xml:space="preserve">Robitussin DM</t>
  </si>
  <si>
    <t xml:space="preserve">Dextromethorphan + guaifenesin</t>
  </si>
  <si>
    <t xml:space="preserve">Cough suppressant plus expectorant</t>
  </si>
  <si>
    <t xml:space="preserve">Coughing and chest congestion</t>
  </si>
  <si>
    <t xml:space="preserve">Do not combine with other cough or cold products that share these ingredients.</t>
  </si>
  <si>
    <t xml:space="preserve">P10</t>
  </si>
  <si>
    <t xml:space="preserve">Simply Saline Nasal Mist</t>
  </si>
  <si>
    <t xml:space="preserve">Sodium chloride nasal spray</t>
  </si>
  <si>
    <t xml:space="preserve">Saltwater nasal spray</t>
  </si>
  <si>
    <t xml:space="preserve">Dry or stuffy nose</t>
  </si>
  <si>
    <t xml:space="preserve">P11</t>
  </si>
  <si>
    <t xml:space="preserve">Claritin</t>
  </si>
  <si>
    <t xml:space="preserve">Allergy</t>
  </si>
  <si>
    <t xml:space="preserve">Loratadine</t>
  </si>
  <si>
    <t xml:space="preserve">Antihistamine allergy medicine (generally less drowsy)</t>
  </si>
  <si>
    <t xml:space="preserve">Sneezing, runny nose, and itchy eyes</t>
  </si>
  <si>
    <t xml:space="preserve">Follow label directions; ask a pharmacist if you take other medicines.</t>
  </si>
  <si>
    <t xml:space="preserve">P12</t>
  </si>
  <si>
    <t xml:space="preserve">Zyrtec</t>
  </si>
  <si>
    <t xml:space="preserve">Cetirizine</t>
  </si>
  <si>
    <t xml:space="preserve">Antihistamine allergy medicine</t>
  </si>
  <si>
    <t xml:space="preserve">Sneezing, runny nose, itchy eyes, and hives</t>
  </si>
  <si>
    <t xml:space="preserve">May cause drowsiness in some people.</t>
  </si>
  <si>
    <t xml:space="preserve">P13</t>
  </si>
  <si>
    <t xml:space="preserve">Benadryl</t>
  </si>
  <si>
    <t xml:space="preserve">Diphenhydramine</t>
  </si>
  <si>
    <t xml:space="preserve">Antihistamine that often causes drowsiness</t>
  </si>
  <si>
    <t xml:space="preserve">Allergic symptoms and itching</t>
  </si>
  <si>
    <t xml:space="preserve">Causes drowsiness; avoid driving. Do not combine with other diphenhydramine products.</t>
  </si>
  <si>
    <t xml:space="preserve">P14</t>
  </si>
  <si>
    <t xml:space="preserve">Tums</t>
  </si>
  <si>
    <t xml:space="preserve">Digestive</t>
  </si>
  <si>
    <t xml:space="preserve">Calcium carbonate</t>
  </si>
  <si>
    <t xml:space="preserve">Antacid</t>
  </si>
  <si>
    <t xml:space="preserve">Heartburn and acid indigestion</t>
  </si>
  <si>
    <t xml:space="preserve">P15</t>
  </si>
  <si>
    <t xml:space="preserve">Pepto-Bismol</t>
  </si>
  <si>
    <t xml:space="preserve">Bismuth subsalicylate</t>
  </si>
  <si>
    <t xml:space="preserve">Upset-stomach reliever</t>
  </si>
  <si>
    <t xml:space="preserve">Nausea, indigestion, and diarrhea</t>
  </si>
  <si>
    <t xml:space="preserve">Contains a salicylate (related to aspirin); not for people allergic to aspirin.</t>
  </si>
  <si>
    <t xml:space="preserve">P16</t>
  </si>
  <si>
    <t xml:space="preserve">Imodium A-D</t>
  </si>
  <si>
    <t xml:space="preserve">Loperamide</t>
  </si>
  <si>
    <t xml:space="preserve">Anti-diarrheal</t>
  </si>
  <si>
    <t xml:space="preserve">Short-term diarrhea</t>
  </si>
  <si>
    <t xml:space="preserve">Not for bloody diarrhea or diarrhea with fever; contact Student Health instead.</t>
  </si>
  <si>
    <t xml:space="preserve">P17</t>
  </si>
  <si>
    <t xml:space="preserve">Pedialyte</t>
  </si>
  <si>
    <t xml:space="preserve">Hydration</t>
  </si>
  <si>
    <t xml:space="preserve">Oral electrolyte solution</t>
  </si>
  <si>
    <t xml:space="preserve">Drink with fluids and electrolytes</t>
  </si>
  <si>
    <t xml:space="preserve">Replacing fluids after vomiting, diarrhea, or dehydration</t>
  </si>
  <si>
    <t xml:space="preserve">2 bottles</t>
  </si>
  <si>
    <t xml:space="preserve">P18</t>
  </si>
  <si>
    <t xml:space="preserve">Digital thermometer (brand varies)</t>
  </si>
  <si>
    <t xml:space="preserve">Diagnostics</t>
  </si>
  <si>
    <t xml:space="preserve">Device</t>
  </si>
  <si>
    <t xml:space="preserve">Temperature-measuring device</t>
  </si>
  <si>
    <t xml:space="preserve">Checking for a fever</t>
  </si>
  <si>
    <t xml:space="preserve">Clean after each use.</t>
  </si>
  <si>
    <t xml:space="preserve">1 unit</t>
  </si>
  <si>
    <t xml:space="preserve">P19</t>
  </si>
  <si>
    <t xml:space="preserve">iHealth COVID-19 Antigen Rapid Test</t>
  </si>
  <si>
    <t xml:space="preserve">At-home test</t>
  </si>
  <si>
    <t xml:space="preserve">At-home viral antigen test</t>
  </si>
  <si>
    <t xml:space="preserve">Checking for possible COVID-19 infection</t>
  </si>
  <si>
    <t xml:space="preserve">Follow the instructions in the box; check the expiration date.</t>
  </si>
  <si>
    <t xml:space="preserve">1 kit</t>
  </si>
  <si>
    <t xml:space="preserve">P20</t>
  </si>
  <si>
    <t xml:space="preserve">Band-Aid Brand Adhesive Bandages</t>
  </si>
  <si>
    <t xml:space="preserve">First aid &amp; comfort</t>
  </si>
  <si>
    <t xml:space="preserve">Adhesive wound coverings</t>
  </si>
  <si>
    <t xml:space="preserve">Covering small cuts and scrapes</t>
  </si>
  <si>
    <t xml:space="preserve">1 box</t>
  </si>
  <si>
    <t xml:space="preserve">P21</t>
  </si>
  <si>
    <t xml:space="preserve">Johnson &amp; Johnson First Aid To Go Kit</t>
  </si>
  <si>
    <t xml:space="preserve">Kit</t>
  </si>
  <si>
    <t xml:space="preserve">Small kit of basic wound-care items</t>
  </si>
  <si>
    <t xml:space="preserve">Treating minor cuts and scrapes</t>
  </si>
  <si>
    <t xml:space="preserve">P22</t>
  </si>
  <si>
    <t xml:space="preserve">Neosporin Original Ointment</t>
  </si>
  <si>
    <t xml:space="preserve">Antibiotic ointment (bacitracin, neomycin, polymyxin B)</t>
  </si>
  <si>
    <t xml:space="preserve">Antibiotic ointment</t>
  </si>
  <si>
    <t xml:space="preserve">Helping prevent infection in minor cuts and scrapes</t>
  </si>
  <si>
    <t xml:space="preserve">Stop use if a rash develops.</t>
  </si>
  <si>
    <t xml:space="preserve">1 tube</t>
  </si>
  <si>
    <t xml:space="preserve">P23</t>
  </si>
  <si>
    <t xml:space="preserve">Instant cold pack (brand varies)</t>
  </si>
  <si>
    <t xml:space="preserve">Single-use cooling pack</t>
  </si>
  <si>
    <t xml:space="preserve">Minor swelling or sprains</t>
  </si>
  <si>
    <t xml:space="preserve">Do not apply directly to bare skin for long periods.</t>
  </si>
  <si>
    <t xml:space="preserve">1 pack</t>
  </si>
  <si>
    <t xml:space="preserve">P24</t>
  </si>
  <si>
    <t xml:space="preserve">ThermaCare Heat Wrap</t>
  </si>
  <si>
    <t xml:space="preserve">Portable heat patch</t>
  </si>
  <si>
    <t xml:space="preserve">Muscle cramps and soreness</t>
  </si>
  <si>
    <t xml:space="preserve">Follow label directions; do not use on broken skin.</t>
  </si>
  <si>
    <t xml:space="preserve">P25</t>
  </si>
  <si>
    <t xml:space="preserve">Always Ultra Thin Pads</t>
  </si>
  <si>
    <t xml:space="preserve">Menstrual &amp; hygiene</t>
  </si>
  <si>
    <t xml:space="preserve">Menstrual pad</t>
  </si>
  <si>
    <t xml:space="preserve">Absorbent menstrual pad</t>
  </si>
  <si>
    <t xml:space="preserve">Managing menstrual bleeding</t>
  </si>
  <si>
    <t xml:space="preserve">Not applicable.</t>
  </si>
  <si>
    <t xml:space="preserve">P26</t>
  </si>
  <si>
    <t xml:space="preserve">Tampax Pearl Tampons</t>
  </si>
  <si>
    <t xml:space="preserve">Tampon</t>
  </si>
  <si>
    <t xml:space="preserve">Internal menstrual product</t>
  </si>
  <si>
    <t xml:space="preserve">Follow package directions.</t>
  </si>
  <si>
    <t xml:space="preserve">P27</t>
  </si>
  <si>
    <t xml:space="preserve">Purell Advanced Hand Sanitizer</t>
  </si>
  <si>
    <t xml:space="preserve">Alcohol-based hand sanitizer</t>
  </si>
  <si>
    <t xml:space="preserve">Alcohol-based hand cleaner</t>
  </si>
  <si>
    <t xml:space="preserve">Cleaning hands when soap and water are unavailable</t>
  </si>
  <si>
    <t xml:space="preserve">Keep out of eyes.</t>
  </si>
  <si>
    <t xml:space="preserve">P28</t>
  </si>
  <si>
    <t xml:space="preserve">Disposable face masks (brand varies)</t>
  </si>
  <si>
    <t xml:space="preserve">Face coverings</t>
  </si>
  <si>
    <t xml:space="preserve">Reducing exposure to respiratory droplets</t>
  </si>
  <si>
    <t xml:space="preserve">inventory_id</t>
  </si>
  <si>
    <t xml:space="preserve">proposed_to_stock</t>
  </si>
  <si>
    <t xml:space="preserve">availability_status</t>
  </si>
  <si>
    <t xml:space="preserve">quantity_band</t>
  </si>
  <si>
    <t xml:space="preserve">reported_confidence</t>
  </si>
  <si>
    <t xml:space="preserve">last_verified</t>
  </si>
  <si>
    <t xml:space="preserve">minutes_since_verified</t>
  </si>
  <si>
    <t xml:space="preserve">validity_minutes</t>
  </si>
  <si>
    <t xml:space="preserve">effective_confidence</t>
  </si>
  <si>
    <t xml:space="preserve">reservable</t>
  </si>
  <si>
    <t xml:space="preserve">payment_options</t>
  </si>
  <si>
    <t xml:space="preserve">quantity_limit</t>
  </si>
  <si>
    <t xml:space="preserve">data_label</t>
  </si>
  <si>
    <t xml:space="preserve">INV-001</t>
  </si>
  <si>
    <t xml:space="preserve">Available</t>
  </si>
  <si>
    <t xml:space="preserve">Staff verified</t>
  </si>
  <si>
    <t xml:space="preserve">SIMULATED - proposed campus health-supply program</t>
  </si>
  <si>
    <t xml:space="preserve">INV-002</t>
  </si>
  <si>
    <t xml:space="preserve">Out of stock</t>
  </si>
  <si>
    <t xml:space="preserve">Verified student report</t>
  </si>
  <si>
    <t xml:space="preserve">INV-003</t>
  </si>
  <si>
    <t xml:space="preserve">INV-004</t>
  </si>
  <si>
    <t xml:space="preserve">INV-005</t>
  </si>
  <si>
    <t xml:space="preserve">INV-006</t>
  </si>
  <si>
    <t xml:space="preserve">INV-007</t>
  </si>
  <si>
    <t xml:space="preserve">INV-008</t>
  </si>
  <si>
    <t xml:space="preserve">Low stock</t>
  </si>
  <si>
    <t xml:space="preserve">INV-009</t>
  </si>
  <si>
    <t xml:space="preserve">INV-010</t>
  </si>
  <si>
    <t xml:space="preserve">INV-011</t>
  </si>
  <si>
    <t xml:space="preserve">INV-012</t>
  </si>
  <si>
    <t xml:space="preserve">Unverified Data</t>
  </si>
  <si>
    <t xml:space="preserve">INV-013</t>
  </si>
  <si>
    <t xml:space="preserve">INV-014</t>
  </si>
  <si>
    <t xml:space="preserve">INV-015</t>
  </si>
  <si>
    <t xml:space="preserve">Unknown</t>
  </si>
  <si>
    <t xml:space="preserve">INV-016</t>
  </si>
  <si>
    <t xml:space="preserve">INV-017</t>
  </si>
  <si>
    <t xml:space="preserve">INV-018</t>
  </si>
  <si>
    <t xml:space="preserve">INV-019</t>
  </si>
  <si>
    <t xml:space="preserve">INV-020</t>
  </si>
  <si>
    <t xml:space="preserve">INV-021</t>
  </si>
  <si>
    <t xml:space="preserve">INV-022</t>
  </si>
  <si>
    <t xml:space="preserve">INV-023</t>
  </si>
  <si>
    <t xml:space="preserve">INV-024</t>
  </si>
  <si>
    <t xml:space="preserve">INV-025</t>
  </si>
  <si>
    <t xml:space="preserve">INV-026</t>
  </si>
  <si>
    <t xml:space="preserve">INV-027</t>
  </si>
  <si>
    <t xml:space="preserve">INV-028</t>
  </si>
  <si>
    <t xml:space="preserve">INV-029</t>
  </si>
  <si>
    <t xml:space="preserve">INV-030</t>
  </si>
  <si>
    <t xml:space="preserve">INV-031</t>
  </si>
  <si>
    <t xml:space="preserve">INV-032</t>
  </si>
  <si>
    <t xml:space="preserve">INV-033</t>
  </si>
  <si>
    <t xml:space="preserve">INV-034</t>
  </si>
  <si>
    <t xml:space="preserve">INV-035</t>
  </si>
  <si>
    <t xml:space="preserve">INV-036</t>
  </si>
  <si>
    <t xml:space="preserve">INV-037</t>
  </si>
  <si>
    <t xml:space="preserve">INV-038</t>
  </si>
  <si>
    <t xml:space="preserve">INV-039</t>
  </si>
  <si>
    <t xml:space="preserve">INV-040</t>
  </si>
  <si>
    <t xml:space="preserve">INV-041</t>
  </si>
  <si>
    <t xml:space="preserve">INV-042</t>
  </si>
  <si>
    <t xml:space="preserve">INV-043</t>
  </si>
  <si>
    <t xml:space="preserve">INV-044</t>
  </si>
  <si>
    <t xml:space="preserve">INV-045</t>
  </si>
  <si>
    <t xml:space="preserve">INV-046</t>
  </si>
  <si>
    <t xml:space="preserve">INV-047</t>
  </si>
  <si>
    <t xml:space="preserve">INV-048</t>
  </si>
  <si>
    <t xml:space="preserve">INV-049</t>
  </si>
  <si>
    <t xml:space="preserve">INV-050</t>
  </si>
  <si>
    <t xml:space="preserve">INV-051</t>
  </si>
  <si>
    <t xml:space="preserve">INV-052</t>
  </si>
  <si>
    <t xml:space="preserve">INV-053</t>
  </si>
  <si>
    <t xml:space="preserve">INV-054</t>
  </si>
  <si>
    <t xml:space="preserve">INV-055</t>
  </si>
  <si>
    <t xml:space="preserve">INV-056</t>
  </si>
  <si>
    <t xml:space="preserve">INV-057</t>
  </si>
  <si>
    <t xml:space="preserve">INV-058</t>
  </si>
  <si>
    <t xml:space="preserve">INV-059</t>
  </si>
  <si>
    <t xml:space="preserve">INV-060</t>
  </si>
  <si>
    <t xml:space="preserve">INV-061</t>
  </si>
  <si>
    <t xml:space="preserve">INV-062</t>
  </si>
  <si>
    <t xml:space="preserve">INV-063</t>
  </si>
  <si>
    <t xml:space="preserve">INV-064</t>
  </si>
  <si>
    <t xml:space="preserve">INV-065</t>
  </si>
  <si>
    <t xml:space="preserve">INV-066</t>
  </si>
  <si>
    <t xml:space="preserve">INV-067</t>
  </si>
  <si>
    <t xml:space="preserve">Temporarily unavailable</t>
  </si>
  <si>
    <t xml:space="preserve">INV-068</t>
  </si>
  <si>
    <t xml:space="preserve">INV-069</t>
  </si>
  <si>
    <t xml:space="preserve">INV-070</t>
  </si>
  <si>
    <t xml:space="preserve">INV-071</t>
  </si>
  <si>
    <t xml:space="preserve">INV-072</t>
  </si>
  <si>
    <t xml:space="preserve">INV-073</t>
  </si>
  <si>
    <t xml:space="preserve">INV-074</t>
  </si>
  <si>
    <t xml:space="preserve">INV-075</t>
  </si>
  <si>
    <t xml:space="preserve">INV-076</t>
  </si>
  <si>
    <t xml:space="preserve">INV-077</t>
  </si>
  <si>
    <t xml:space="preserve">INV-078</t>
  </si>
  <si>
    <t xml:space="preserve">INV-079</t>
  </si>
  <si>
    <t xml:space="preserve">INV-080</t>
  </si>
  <si>
    <t xml:space="preserve">INV-081</t>
  </si>
  <si>
    <t xml:space="preserve">INV-082</t>
  </si>
  <si>
    <t xml:space="preserve">INV-083</t>
  </si>
  <si>
    <t xml:space="preserve">INV-084</t>
  </si>
  <si>
    <t xml:space="preserve">INV-085</t>
  </si>
  <si>
    <t xml:space="preserve">INV-086</t>
  </si>
  <si>
    <t xml:space="preserve">INV-087</t>
  </si>
  <si>
    <t xml:space="preserve">Not stocked in proposal</t>
  </si>
  <si>
    <t xml:space="preserve">INV-088</t>
  </si>
  <si>
    <t xml:space="preserve">INV-089</t>
  </si>
  <si>
    <t xml:space="preserve">INV-090</t>
  </si>
  <si>
    <t xml:space="preserve">INV-091</t>
  </si>
  <si>
    <t xml:space="preserve">INV-092</t>
  </si>
  <si>
    <t xml:space="preserve">INV-093</t>
  </si>
  <si>
    <t xml:space="preserve">INV-094</t>
  </si>
  <si>
    <t xml:space="preserve">INV-095</t>
  </si>
  <si>
    <t xml:space="preserve">INV-096</t>
  </si>
  <si>
    <t xml:space="preserve">INV-097</t>
  </si>
  <si>
    <t xml:space="preserve">INV-098</t>
  </si>
  <si>
    <t xml:space="preserve">INV-099</t>
  </si>
  <si>
    <t xml:space="preserve">INV-100</t>
  </si>
  <si>
    <t xml:space="preserve">INV-101</t>
  </si>
  <si>
    <t xml:space="preserve">INV-102</t>
  </si>
  <si>
    <t xml:space="preserve">INV-103</t>
  </si>
  <si>
    <t xml:space="preserve">INV-104</t>
  </si>
  <si>
    <t xml:space="preserve">INV-105</t>
  </si>
  <si>
    <t xml:space="preserve">INV-106</t>
  </si>
  <si>
    <t xml:space="preserve">INV-107</t>
  </si>
  <si>
    <t xml:space="preserve">INV-108</t>
  </si>
  <si>
    <t xml:space="preserve">INV-109</t>
  </si>
  <si>
    <t xml:space="preserve">INV-110</t>
  </si>
  <si>
    <t xml:space="preserve">INV-111</t>
  </si>
  <si>
    <t xml:space="preserve">INV-112</t>
  </si>
  <si>
    <t xml:space="preserve">INV-113</t>
  </si>
  <si>
    <t xml:space="preserve">INV-114</t>
  </si>
  <si>
    <t xml:space="preserve">INV-115</t>
  </si>
  <si>
    <t xml:space="preserve">INV-116</t>
  </si>
  <si>
    <t xml:space="preserve">INV-117</t>
  </si>
  <si>
    <t xml:space="preserve">INV-118</t>
  </si>
  <si>
    <t xml:space="preserve">INV-119</t>
  </si>
  <si>
    <t xml:space="preserve">INV-120</t>
  </si>
  <si>
    <t xml:space="preserve">INV-121</t>
  </si>
  <si>
    <t xml:space="preserve">INV-122</t>
  </si>
  <si>
    <t xml:space="preserve">INV-123</t>
  </si>
  <si>
    <t xml:space="preserve">INV-124</t>
  </si>
  <si>
    <t xml:space="preserve">INV-125</t>
  </si>
  <si>
    <t xml:space="preserve">INV-126</t>
  </si>
  <si>
    <t xml:space="preserve">INV-127</t>
  </si>
  <si>
    <t xml:space="preserve">INV-128</t>
  </si>
  <si>
    <t xml:space="preserve">INV-129</t>
  </si>
  <si>
    <t xml:space="preserve">INV-130</t>
  </si>
  <si>
    <t xml:space="preserve">INV-131</t>
  </si>
  <si>
    <t xml:space="preserve">INV-132</t>
  </si>
  <si>
    <t xml:space="preserve">INV-133</t>
  </si>
  <si>
    <t xml:space="preserve">INV-134</t>
  </si>
  <si>
    <t xml:space="preserve">INV-135</t>
  </si>
  <si>
    <t xml:space="preserve">INV-136</t>
  </si>
  <si>
    <t xml:space="preserve">INV-137</t>
  </si>
  <si>
    <t xml:space="preserve">INV-138</t>
  </si>
  <si>
    <t xml:space="preserve">INV-139</t>
  </si>
  <si>
    <t xml:space="preserve">INV-140</t>
  </si>
  <si>
    <t xml:space="preserve">INV-141</t>
  </si>
  <si>
    <t xml:space="preserve">INV-142</t>
  </si>
  <si>
    <t xml:space="preserve">INV-143</t>
  </si>
  <si>
    <t xml:space="preserve">INV-144</t>
  </si>
  <si>
    <t xml:space="preserve">INV-145</t>
  </si>
  <si>
    <t xml:space="preserve">INV-146</t>
  </si>
  <si>
    <t xml:space="preserve">INV-147</t>
  </si>
  <si>
    <t xml:space="preserve">INV-148</t>
  </si>
  <si>
    <t xml:space="preserve">INV-149</t>
  </si>
  <si>
    <t xml:space="preserve">INV-150</t>
  </si>
  <si>
    <t xml:space="preserve">INV-151</t>
  </si>
  <si>
    <t xml:space="preserve">INV-152</t>
  </si>
  <si>
    <t xml:space="preserve">INV-153</t>
  </si>
  <si>
    <t xml:space="preserve">INV-154</t>
  </si>
  <si>
    <t xml:space="preserve">INV-155</t>
  </si>
  <si>
    <t xml:space="preserve">INV-156</t>
  </si>
  <si>
    <t xml:space="preserve">INV-157</t>
  </si>
  <si>
    <t xml:space="preserve">INV-158</t>
  </si>
  <si>
    <t xml:space="preserve">INV-159</t>
  </si>
  <si>
    <t xml:space="preserve">INV-160</t>
  </si>
  <si>
    <t xml:space="preserve">INV-161</t>
  </si>
  <si>
    <t xml:space="preserve">INV-162</t>
  </si>
  <si>
    <t xml:space="preserve">INV-163</t>
  </si>
  <si>
    <t xml:space="preserve">INV-164</t>
  </si>
  <si>
    <t xml:space="preserve">INV-165</t>
  </si>
  <si>
    <t xml:space="preserve">INV-166</t>
  </si>
  <si>
    <t xml:space="preserve">INV-167</t>
  </si>
  <si>
    <t xml:space="preserve">INV-168</t>
  </si>
  <si>
    <t xml:space="preserve">INV-169</t>
  </si>
  <si>
    <t xml:space="preserve">INV-170</t>
  </si>
  <si>
    <t xml:space="preserve">INV-171</t>
  </si>
  <si>
    <t xml:space="preserve">INV-172</t>
  </si>
  <si>
    <t xml:space="preserve">INV-173</t>
  </si>
  <si>
    <t xml:space="preserve">INV-174</t>
  </si>
  <si>
    <t xml:space="preserve">INV-175</t>
  </si>
  <si>
    <t xml:space="preserve">INV-176</t>
  </si>
  <si>
    <t xml:space="preserve">INV-177</t>
  </si>
  <si>
    <t xml:space="preserve">INV-178</t>
  </si>
  <si>
    <t xml:space="preserve">INV-179</t>
  </si>
  <si>
    <t xml:space="preserve">INV-180</t>
  </si>
  <si>
    <t xml:space="preserve">INV-181</t>
  </si>
  <si>
    <t xml:space="preserve">INV-182</t>
  </si>
  <si>
    <t xml:space="preserve">INV-183</t>
  </si>
  <si>
    <t xml:space="preserve">INV-184</t>
  </si>
  <si>
    <t xml:space="preserve">INV-185</t>
  </si>
  <si>
    <t xml:space="preserve">INV-186</t>
  </si>
  <si>
    <t xml:space="preserve">INV-187</t>
  </si>
  <si>
    <t xml:space="preserve">INV-188</t>
  </si>
  <si>
    <t xml:space="preserve">INV-189</t>
  </si>
  <si>
    <t xml:space="preserve">INV-190</t>
  </si>
  <si>
    <t xml:space="preserve">INV-191</t>
  </si>
  <si>
    <t xml:space="preserve">INV-192</t>
  </si>
  <si>
    <t xml:space="preserve">INV-193</t>
  </si>
  <si>
    <t xml:space="preserve">INV-194</t>
  </si>
  <si>
    <t xml:space="preserve">INV-195</t>
  </si>
  <si>
    <t xml:space="preserve">INV-196</t>
  </si>
  <si>
    <t xml:space="preserve">INV-197</t>
  </si>
  <si>
    <t xml:space="preserve">INV-198</t>
  </si>
  <si>
    <t xml:space="preserve">INV-199</t>
  </si>
  <si>
    <t xml:space="preserve">INV-200</t>
  </si>
  <si>
    <t xml:space="preserve">INV-201</t>
  </si>
  <si>
    <t xml:space="preserve">INV-202</t>
  </si>
  <si>
    <t xml:space="preserve">INV-203</t>
  </si>
  <si>
    <t xml:space="preserve">INV-204</t>
  </si>
  <si>
    <t xml:space="preserve">INV-205</t>
  </si>
  <si>
    <t xml:space="preserve">INV-206</t>
  </si>
  <si>
    <t xml:space="preserve">INV-207</t>
  </si>
  <si>
    <t xml:space="preserve">INV-208</t>
  </si>
  <si>
    <t xml:space="preserve">INV-209</t>
  </si>
  <si>
    <t xml:space="preserve">INV-210</t>
  </si>
  <si>
    <t xml:space="preserve">INV-211</t>
  </si>
  <si>
    <t xml:space="preserve">INV-212</t>
  </si>
  <si>
    <t xml:space="preserve">INV-213</t>
  </si>
  <si>
    <t xml:space="preserve">INV-214</t>
  </si>
  <si>
    <t xml:space="preserve">INV-215</t>
  </si>
  <si>
    <t xml:space="preserve">INV-216</t>
  </si>
  <si>
    <t xml:space="preserve">INV-217</t>
  </si>
  <si>
    <t xml:space="preserve">INV-218</t>
  </si>
  <si>
    <t xml:space="preserve">INV-219</t>
  </si>
  <si>
    <t xml:space="preserve">INV-220</t>
  </si>
  <si>
    <t xml:space="preserve">INV-221</t>
  </si>
  <si>
    <t xml:space="preserve">INV-222</t>
  </si>
  <si>
    <t xml:space="preserve">INV-223</t>
  </si>
  <si>
    <t xml:space="preserve">INV-224</t>
  </si>
  <si>
    <t xml:space="preserve">report_id</t>
  </si>
  <si>
    <t xml:space="preserve">reporter_role</t>
  </si>
  <si>
    <t xml:space="preserve">reporter_token</t>
  </si>
  <si>
    <t xml:space="preserve">reported_status</t>
  </si>
  <si>
    <t xml:space="preserve">reported_at</t>
  </si>
  <si>
    <t xml:space="preserve">geofence_distance_m</t>
  </si>
  <si>
    <t xml:space="preserve">geofence_result</t>
  </si>
  <si>
    <t xml:space="preserve">photo_attached</t>
  </si>
  <si>
    <t xml:space="preserve">photo_review</t>
  </si>
  <si>
    <t xml:space="preserve">verification_outcome</t>
  </si>
  <si>
    <t xml:space="preserve">expires_at</t>
  </si>
  <si>
    <t xml:space="preserve">valid_at_demo_now</t>
  </si>
  <si>
    <t xml:space="preserve">Reports are anonymous tokens only. Photos are not stored in this dataset (the app should delete photos after review and keep metadata).</t>
  </si>
  <si>
    <t xml:space="preserve">R-01</t>
  </si>
  <si>
    <t xml:space="preserve">Rutgers staff</t>
  </si>
  <si>
    <t xml:space="preserve">anon-B28D</t>
  </si>
  <si>
    <t xml:space="preserve">n/a</t>
  </si>
  <si>
    <t xml:space="preserve">R-02</t>
  </si>
  <si>
    <t xml:space="preserve">anon-5E7B</t>
  </si>
  <si>
    <t xml:space="preserve">R-03</t>
  </si>
  <si>
    <t xml:space="preserve">Student (basic)</t>
  </si>
  <si>
    <t xml:space="preserve">anon-4B71</t>
  </si>
  <si>
    <t xml:space="preserve">R-04</t>
  </si>
  <si>
    <t xml:space="preserve">anon-C87B</t>
  </si>
  <si>
    <t xml:space="preserve">R-05</t>
  </si>
  <si>
    <t xml:space="preserve">anon-99E0</t>
  </si>
  <si>
    <t xml:space="preserve">R-06</t>
  </si>
  <si>
    <t xml:space="preserve">anon-8BA7</t>
  </si>
  <si>
    <t xml:space="preserve">R-07</t>
  </si>
  <si>
    <t xml:space="preserve">Authorized student</t>
  </si>
  <si>
    <t xml:space="preserve">anon-B82F</t>
  </si>
  <si>
    <t xml:space="preserve">Approved</t>
  </si>
  <si>
    <t xml:space="preserve">R-08</t>
  </si>
  <si>
    <t xml:space="preserve">anon-2F76</t>
  </si>
  <si>
    <t xml:space="preserve">R-09</t>
  </si>
  <si>
    <t xml:space="preserve">anon-03BC</t>
  </si>
  <si>
    <t xml:space="preserve">R-10</t>
  </si>
  <si>
    <t xml:space="preserve">anon-D916</t>
  </si>
  <si>
    <t xml:space="preserve">R-11</t>
  </si>
  <si>
    <t xml:space="preserve">anon-FCFC</t>
  </si>
  <si>
    <t xml:space="preserve">R-12</t>
  </si>
  <si>
    <t xml:space="preserve">anon-947C</t>
  </si>
  <si>
    <t xml:space="preserve">R-13</t>
  </si>
  <si>
    <t xml:space="preserve">anon-3175</t>
  </si>
  <si>
    <t xml:space="preserve">R-14</t>
  </si>
  <si>
    <t xml:space="preserve">anon-75F8</t>
  </si>
  <si>
    <t xml:space="preserve">R-15</t>
  </si>
  <si>
    <t xml:space="preserve">anon-998F</t>
  </si>
  <si>
    <t xml:space="preserve">R-16</t>
  </si>
  <si>
    <t xml:space="preserve">anon-C181</t>
  </si>
  <si>
    <t xml:space="preserve">R-17</t>
  </si>
  <si>
    <t xml:space="preserve">anon-823F</t>
  </si>
  <si>
    <t xml:space="preserve">R-18</t>
  </si>
  <si>
    <t xml:space="preserve">anon-3B4E</t>
  </si>
  <si>
    <t xml:space="preserve">R-19</t>
  </si>
  <si>
    <t xml:space="preserve">anon-BCE8</t>
  </si>
  <si>
    <t xml:space="preserve">Pending</t>
  </si>
  <si>
    <t xml:space="preserve">R-20</t>
  </si>
  <si>
    <t xml:space="preserve">anon-C39B</t>
  </si>
  <si>
    <t xml:space="preserve">reservation_id</t>
  </si>
  <si>
    <t xml:space="preserve">reserved_by_token</t>
  </si>
  <si>
    <t xml:space="preserve">created_at</t>
  </si>
  <si>
    <t xml:space="preserve">effective_status</t>
  </si>
  <si>
    <t xml:space="preserve">minutes_remaining</t>
  </si>
  <si>
    <t xml:space="preserve">pickup_method</t>
  </si>
  <si>
    <t xml:space="preserve">payment_method</t>
  </si>
  <si>
    <t xml:space="preserve">quantity</t>
  </si>
  <si>
    <t xml:space="preserve">pickup_code_mock</t>
  </si>
  <si>
    <t xml:space="preserve">collected_at</t>
  </si>
  <si>
    <t xml:space="preserve">'Proposed ...' payment methods do not exist today; they are what the project would ask Rutgers to approve. pickup_code_mock values are random placeholders.</t>
  </si>
  <si>
    <t xml:space="preserve">RES-01</t>
  </si>
  <si>
    <t xml:space="preserve">anon-E96C</t>
  </si>
  <si>
    <t xml:space="preserve">Active</t>
  </si>
  <si>
    <t xml:space="preserve">Authorized friend pickup</t>
  </si>
  <si>
    <t xml:space="preserve">Proposed campus health credit</t>
  </si>
  <si>
    <t xml:space="preserve">QR-990B4D</t>
  </si>
  <si>
    <t xml:space="preserve">RES-02</t>
  </si>
  <si>
    <t xml:space="preserve">anon-1608</t>
  </si>
  <si>
    <t xml:space="preserve">Collected</t>
  </si>
  <si>
    <t xml:space="preserve">Self pickup</t>
  </si>
  <si>
    <t xml:space="preserve">RU Express</t>
  </si>
  <si>
    <t xml:space="preserve">QR-AF2F0B</t>
  </si>
  <si>
    <t xml:space="preserve">RES-03</t>
  </si>
  <si>
    <t xml:space="preserve">anon-B1F7</t>
  </si>
  <si>
    <t xml:space="preserve">Proposed retail swipe</t>
  </si>
  <si>
    <t xml:space="preserve">QR-6348C3</t>
  </si>
  <si>
    <t xml:space="preserve">RES-04</t>
  </si>
  <si>
    <t xml:space="preserve">anon-1138</t>
  </si>
  <si>
    <t xml:space="preserve">QR-63B8B3</t>
  </si>
  <si>
    <t xml:space="preserve">RES-05</t>
  </si>
  <si>
    <t xml:space="preserve">anon-04C3</t>
  </si>
  <si>
    <t xml:space="preserve">Cash or card</t>
  </si>
  <si>
    <t xml:space="preserve">QR-070F4D</t>
  </si>
  <si>
    <t xml:space="preserve">RES-06</t>
  </si>
  <si>
    <t xml:space="preserve">anon-049B</t>
  </si>
  <si>
    <t xml:space="preserve">Cancelled</t>
  </si>
  <si>
    <t xml:space="preserve">QR-61FCA6</t>
  </si>
  <si>
    <t xml:space="preserve">RES-07</t>
  </si>
  <si>
    <t xml:space="preserve">anon-4248</t>
  </si>
  <si>
    <t xml:space="preserve">QR-5A59A7</t>
  </si>
  <si>
    <t xml:space="preserve">RES-08</t>
  </si>
  <si>
    <t xml:space="preserve">anon-D222</t>
  </si>
  <si>
    <t xml:space="preserve">QR-BE32E0</t>
  </si>
  <si>
    <t xml:space="preserve">RES-09</t>
  </si>
  <si>
    <t xml:space="preserve">anon-A27F</t>
  </si>
  <si>
    <t xml:space="preserve">Declined (first come, first served)</t>
  </si>
  <si>
    <t xml:space="preserve">QR-8624D2</t>
  </si>
  <si>
    <t xml:space="preserve">RES-10</t>
  </si>
  <si>
    <t xml:space="preserve">anon-741B</t>
  </si>
  <si>
    <t xml:space="preserve">QR-9B6D66</t>
  </si>
  <si>
    <t xml:space="preserve">Straight-line distance (km) between locations - formula from the Locations coordinates</t>
  </si>
  <si>
    <t xml:space="preserve">from \ to</t>
  </si>
  <si>
    <t xml:space="preserve">Rough walking minutes (km x detour factor / walking speed). Treat &gt;30 min as 'use the bus'. Replace with Google Maps API times.</t>
  </si>
  <si>
    <t xml:space="preserve">Cook Cafe shows n/a until its coordinates are filled in on the Locations sheet. Campus-to-campus trips are miles apart; use bus data (you mentioned XRadar) - not included here.</t>
  </si>
  <si>
    <t xml:space="preserve">Stock status by campus zone (counts of simulated inventory records, proposed items only)</t>
  </si>
  <si>
    <t xml:space="preserve">total_stocked_records</t>
  </si>
  <si>
    <t xml:space="preserve">No stockout history is included (you chose not to). The app would start recording it once real use begins.</t>
  </si>
  <si>
    <t xml:space="preserve">All zones</t>
  </si>
  <si>
    <t xml:space="preserve">Check: equals count of proposed_to_stock = Yes</t>
  </si>
  <si>
    <t xml:space="preserve">Report confidence right now (uses DEMO_NOW on the Config sheet)</t>
  </si>
  <si>
    <t xml:space="preserve">records</t>
  </si>
  <si>
    <t xml:space="preserve">Authorized student verified</t>
  </si>
  <si>
    <t xml:space="preserve">Multiple student reports</t>
  </si>
  <si>
    <t xml:space="preserve">Single student report</t>
  </si>
  <si>
    <t xml:space="preserve">Stale report</t>
  </si>
  <si>
    <t xml:space="preserve">Total</t>
  </si>
  <si>
    <t xml:space="preserve">Restock alerts by location (Out of stock + Low stock records)</t>
  </si>
  <si>
    <t xml:space="preserve">out_of_stock</t>
  </si>
  <si>
    <t xml:space="preserve">low_stock</t>
  </si>
  <si>
    <t xml:space="preserve">total_alerts</t>
  </si>
  <si>
    <t xml:space="preserve">All locations</t>
  </si>
  <si>
    <t xml:space="preserve">Reservations right now</t>
  </si>
  <si>
    <t xml:space="preserve">reservations</t>
  </si>
  <si>
    <t xml:space="preserve">Expired (auto)</t>
  </si>
  <si>
    <t xml:space="preserve">scenario_id</t>
  </si>
  <si>
    <t xml:space="preserve">title</t>
  </si>
  <si>
    <t xml:space="preserve">product_needed</t>
  </si>
  <si>
    <t xml:space="preserve">narrative_time</t>
  </si>
  <si>
    <t xml:space="preserve">setup_in_the_data</t>
  </si>
  <si>
    <t xml:space="preserve">expected_app_behavior</t>
  </si>
  <si>
    <t xml:space="preserve">what_it_proves</t>
  </si>
  <si>
    <t xml:space="preserve">key_records</t>
  </si>
  <si>
    <t xml:space="preserve">notes</t>
  </si>
  <si>
    <t xml:space="preserve">S01</t>
  </si>
  <si>
    <t xml:space="preserve">Sick late at night on College Ave</t>
  </si>
  <si>
    <t xml:space="preserve">Thursday 11:15 PM</t>
  </si>
  <si>
    <t xml:space="preserve">Atrium has Tylenol (staff verified). Cafe West has it (low stock) but closes at 11:00 PM Mon-Thu.</t>
  </si>
  <si>
    <t xml:space="preserve">Filter out Cafe West as closed. Recommend The Atrium. Show that after 9 PM an Atrium swipe counts toward the 3-per-day retail limit.</t>
  </si>
  <si>
    <t xml:space="preserve">Hours-aware recommendations and swipe-policy awareness.</t>
  </si>
  <si>
    <t xml:space="preserve">INV-001, INV-029</t>
  </si>
  <si>
    <t xml:space="preserve">Narrative time differs from the DEMO_NOW clock; the app should apply the scenario time to hours, not to report ages.</t>
  </si>
  <si>
    <t xml:space="preserve">S02</t>
  </si>
  <si>
    <t xml:space="preserve">Closest location is out of stock</t>
  </si>
  <si>
    <t xml:space="preserve">Tuesday 4:00 PM</t>
  </si>
  <si>
    <t xml:space="preserve">Kilmer's is out of Advil (staff verified 20 min ago). Henry's Diner has it low (authorized student verified 15 min ago) and is open until 6 PM.</t>
  </si>
  <si>
    <t xml:space="preserve">Mark Kilmer's out, recommend Henry's Diner with 'Few left', offer a 75-minute reservation, show a rough walk time from the Distance_Matrix.</t>
  </si>
  <si>
    <t xml:space="preserve">Stockout detection and automatic fallback.</t>
  </si>
  <si>
    <t xml:space="preserve">INV-058, INV-086</t>
  </si>
  <si>
    <t xml:space="preserve">S03</t>
  </si>
  <si>
    <t xml:space="preserve">Stale report loses trust</t>
  </si>
  <si>
    <t xml:space="preserve">Tuesday 3:00 PM (= DEMO_NOW)</t>
  </si>
  <si>
    <t xml:space="preserve">Woody's has a single student report from 95 minutes ago (older than the 60-minute limit). Harvest Juice Bar has a staff report from 150 minutes ago (inside the 240-minute limit).</t>
  </si>
  <si>
    <t xml:space="preserve">Show Woody's as 'Stale report - verify first'. Rank Harvest Juice Bar first but warn it closes at 3:30 PM.</t>
  </si>
  <si>
    <t xml:space="preserve">Report expiry, confidence downgrade, and closing-soon warning.</t>
  </si>
  <si>
    <t xml:space="preserve">INV-148, INV-120</t>
  </si>
  <si>
    <t xml:space="preserve">Change DEMO_NOW on Config to see the Harvest report go stale too.</t>
  </si>
  <si>
    <t xml:space="preserve">S04</t>
  </si>
  <si>
    <t xml:space="preserve">Pays with a swipe, not cash</t>
  </si>
  <si>
    <t xml:space="preserve">Digital thermometer</t>
  </si>
  <si>
    <t xml:space="preserve">Tuesday 2:30 PM</t>
  </si>
  <si>
    <t xml:space="preserve">Cafe West has a thermometer (authorized student verified 25 min ago). Retail swipe for health items is 'proposed_pending_approval'.</t>
  </si>
  <si>
    <t xml:space="preserve">Show payment options. Explain the swipe option is a proposal needing Rutgers approval. Demo uses a simulated health credit. Show the $10 swipe value and 3/day limit from Config.</t>
  </si>
  <si>
    <t xml:space="preserve">Payment-agnostic design without claiming a policy that does not exist.</t>
  </si>
  <si>
    <t xml:space="preserve">Meal swipes buying medicine is NOT allowed today as far as I could verify.</t>
  </si>
  <si>
    <t xml:space="preserve">S05</t>
  </si>
  <si>
    <t xml:space="preserve">Thermometer before an exam</t>
  </si>
  <si>
    <t xml:space="preserve">Tuesday 2:00 PM</t>
  </si>
  <si>
    <t xml:space="preserve">Douglass Cafe has it low (multiple student reports). Cook Cafe is unknown and its hours are unverified.</t>
  </si>
  <si>
    <t xml:space="preserve">Recommend Douglass Cafe. Show Cook Cafe as unknown. Offer a reservation.</t>
  </si>
  <si>
    <t xml:space="preserve">Handling unknown stock and unverified locations honestly.</t>
  </si>
  <si>
    <t xml:space="preserve">INV-214, INV-186</t>
  </si>
  <si>
    <t xml:space="preserve">S06</t>
  </si>
  <si>
    <t xml:space="preserve">Friend picks up for a sick student</t>
  </si>
  <si>
    <t xml:space="preserve">Tuesday 2:40 PM</t>
  </si>
  <si>
    <t xml:space="preserve">A reservation exists for Pedialyte at Kilmer's with pickup by an authorized friend.</t>
  </si>
  <si>
    <t xml:space="preserve">Generate a one-time pickup code for the friend. Show the 75-minute countdown. Do not reveal the sick student's identity or reason to the store.</t>
  </si>
  <si>
    <t xml:space="preserve">Pickup authorization without exposing health details.</t>
  </si>
  <si>
    <t xml:space="preserve">RES-01, INV-073</t>
  </si>
  <si>
    <t xml:space="preserve">S07</t>
  </si>
  <si>
    <t xml:space="preserve">Reservation expires automatically</t>
  </si>
  <si>
    <t xml:space="preserve">A Tums reservation was made 100 minutes ago and never collected.</t>
  </si>
  <si>
    <t xml:space="preserve">Show it as 'Expired (auto)' and return the unit to available stock.</t>
  </si>
  <si>
    <t xml:space="preserve">Expiring holds protect other students.</t>
  </si>
  <si>
    <t xml:space="preserve">RES-07, INV-070</t>
  </si>
  <si>
    <t xml:space="preserve">Reservations sheet effective_status column does this with a formula.</t>
  </si>
  <si>
    <t xml:space="preserve">S08</t>
  </si>
  <si>
    <t xml:space="preserve">Photo + location verification</t>
  </si>
  <si>
    <t xml:space="preserve">Tuesday 2:25 PM</t>
  </si>
  <si>
    <t xml:space="preserve">One authorized-student report is accepted (photo approved, within the geofence). One at Henry's Diner is rejected for being about 420 m away. Two are pending photo review.</t>
  </si>
  <si>
    <t xml:space="preserve">Accept, reject, and queue reports using the Verification_Reports outcome column. Rejected and pending reports do not change stock confidence.</t>
  </si>
  <si>
    <t xml:space="preserve">Trust rules for student reporting.</t>
  </si>
  <si>
    <t xml:space="preserve">R-01 to R-20 (filter verification_outcome)</t>
  </si>
  <si>
    <t xml:space="preserve">Photo and exact GPS should not be stored long term.</t>
  </si>
  <si>
    <t xml:space="preserve">S09</t>
  </si>
  <si>
    <t xml:space="preserve">Two reports disagree</t>
  </si>
  <si>
    <t xml:space="preserve">Tuesday 2:48 PM</t>
  </si>
  <si>
    <t xml:space="preserve">At The Atrium, one report 40 minutes ago said Available, a newer one 12 minutes ago says Out of stock.</t>
  </si>
  <si>
    <t xml:space="preserve">Latest report wins: show Out of stock with 'Single student report'. Ask a nearby student to confirm.</t>
  </si>
  <si>
    <t xml:space="preserve">Conflict resolution by recency.</t>
  </si>
  <si>
    <t xml:space="preserve">S10</t>
  </si>
  <si>
    <t xml:space="preserve">Nothing nearby: escalate to Rutgers Health</t>
  </si>
  <si>
    <t xml:space="preserve">No Cook/Douglass location carries Imodium in the proposal (not in the core list).</t>
  </si>
  <si>
    <t xml:space="preserve">Show no stock, then show Student Health (848-932-7402), the free Advice Nurse Line (800-890-5882), and the emergency numbers from Health_Escalation.</t>
  </si>
  <si>
    <t xml:space="preserve">Safe fallback when stock is unavailable.</t>
  </si>
  <si>
    <t xml:space="preserve">INV-184, INV-212</t>
  </si>
  <si>
    <t xml:space="preserve">App should not diagnose or give dosing advice.</t>
  </si>
  <si>
    <t xml:space="preserve">S11</t>
  </si>
  <si>
    <t xml:space="preserve">Admin sees stockouts and restock alerts</t>
  </si>
  <si>
    <t xml:space="preserve">All</t>
  </si>
  <si>
    <t xml:space="preserve">(all)</t>
  </si>
  <si>
    <t xml:space="preserve">Tuesday 3:00 PM</t>
  </si>
  <si>
    <t xml:space="preserve">Admin_Summary counts every status by zone and flags locations with out-of-stock or low-stock items.</t>
  </si>
  <si>
    <t xml:space="preserve">Show the restock list and how many reports are stale.</t>
  </si>
  <si>
    <t xml:space="preserve">Operations view for Rutgers staff.</t>
  </si>
  <si>
    <t xml:space="preserve">Admin_Summary sheet</t>
  </si>
  <si>
    <t xml:space="preserve">All admin data is anonymous.</t>
  </si>
  <si>
    <t xml:space="preserve">S12</t>
  </si>
  <si>
    <t xml:space="preserve">Last unit: first come, first served</t>
  </si>
  <si>
    <t xml:space="preserve">Tuesday 2:50 PM</t>
  </si>
  <si>
    <t xml:space="preserve">Cafe West shows low stock. Two students try to reserve it; the earlier request wins.</t>
  </si>
  <si>
    <t xml:space="preserve">First reservation Active; second Declined (first come, first served). No priority for urgency.</t>
  </si>
  <si>
    <t xml:space="preserve">Fair allocation rule you chose.</t>
  </si>
  <si>
    <t xml:space="preserve">RES-08, RES-09, INV-029</t>
  </si>
  <si>
    <t xml:space="preserve">contact_id</t>
  </si>
  <si>
    <t xml:space="preserve">name</t>
  </si>
  <si>
    <t xml:space="preserve">type</t>
  </si>
  <si>
    <t xml:space="preserve">phone_or_contact</t>
  </si>
  <si>
    <t xml:space="preserve">when_to_use</t>
  </si>
  <si>
    <t xml:space="preserve">source</t>
  </si>
  <si>
    <t xml:space="preserve">verified</t>
  </si>
  <si>
    <t xml:space="preserve">H01</t>
  </si>
  <si>
    <t xml:space="preserve">Emergency services</t>
  </si>
  <si>
    <t xml:space="preserve">Emergency</t>
  </si>
  <si>
    <t xml:space="preserve">911</t>
  </si>
  <si>
    <t xml:space="preserve">Any medical emergency.</t>
  </si>
  <si>
    <t xml:space="preserve">health.rutgers.edu/node/42</t>
  </si>
  <si>
    <t xml:space="preserve">H02</t>
  </si>
  <si>
    <t xml:space="preserve">Rutgers University Police (RUPD)</t>
  </si>
  <si>
    <t xml:space="preserve">848-932-7211</t>
  </si>
  <si>
    <t xml:space="preserve">Medical emergency on campus.</t>
  </si>
  <si>
    <t xml:space="preserve">H03</t>
  </si>
  <si>
    <t xml:space="preserve">Rutgers Student Health appointments</t>
  </si>
  <si>
    <t xml:space="preserve">Clinic</t>
  </si>
  <si>
    <t xml:space="preserve">848-932-7402 (health@rutgers.edu)</t>
  </si>
  <si>
    <t xml:space="preserve">Book a medical visit. Student Health is not an emergency center.</t>
  </si>
  <si>
    <t xml:space="preserve">health.rutgers.edu/medical-and-counseling-services/make-appointment</t>
  </si>
  <si>
    <t xml:space="preserve">H04</t>
  </si>
  <si>
    <t xml:space="preserve">Hurtado Health Center</t>
  </si>
  <si>
    <t xml:space="preserve">Clinic location</t>
  </si>
  <si>
    <t xml:space="preserve">11 Bishop Place, New Brunswick</t>
  </si>
  <si>
    <t xml:space="preserve">College Avenue campus clinic.</t>
  </si>
  <si>
    <t xml:space="preserve">same</t>
  </si>
  <si>
    <t xml:space="preserve">H05</t>
  </si>
  <si>
    <t xml:space="preserve">Busch-Livingston Health Center</t>
  </si>
  <si>
    <t xml:space="preserve">110 Hospital Road, Piscataway</t>
  </si>
  <si>
    <t xml:space="preserve">Busch and Livingston clinic.</t>
  </si>
  <si>
    <t xml:space="preserve">H06</t>
  </si>
  <si>
    <t xml:space="preserve">Cook-Douglass Health Center</t>
  </si>
  <si>
    <t xml:space="preserve">61 Dudley Road, Room 140, New Brunswick</t>
  </si>
  <si>
    <t xml:space="preserve">Cook and Douglass clinic.</t>
  </si>
  <si>
    <t xml:space="preserve">H07</t>
  </si>
  <si>
    <t xml:space="preserve">RSH Advice Nurse Line</t>
  </si>
  <si>
    <t xml:space="preserve">Nurse advice</t>
  </si>
  <si>
    <t xml:space="preserve">800-890-5882</t>
  </si>
  <si>
    <t xml:space="preserve">Free advice for non-urgent problems when the health centers are closed.</t>
  </si>
  <si>
    <t xml:space="preserve">H08</t>
  </si>
  <si>
    <t xml:space="preserve">CAPS (counseling)</t>
  </si>
  <si>
    <t xml:space="preserve">Mental health</t>
  </si>
  <si>
    <t xml:space="preserve">848-932-7884</t>
  </si>
  <si>
    <t xml:space="preserve">Counseling; after hours follow the phone prompts.</t>
  </si>
  <si>
    <t xml:space="preserve">H09</t>
  </si>
  <si>
    <t xml:space="preserve">NJ Hope Line</t>
  </si>
  <si>
    <t xml:space="preserve">Mental health crisis</t>
  </si>
  <si>
    <t xml:space="preserve">855-654-6735</t>
  </si>
  <si>
    <t xml:space="preserve">Suicide prevention line listed by Rutgers Student Health.</t>
  </si>
  <si>
    <t xml:space="preserve">H10</t>
  </si>
  <si>
    <t xml:space="preserve">Crisis Text Line</t>
  </si>
  <si>
    <t xml:space="preserve">Text HELLO to 741741</t>
  </si>
  <si>
    <t xml:space="preserve">Listed by Rutgers Student Health.</t>
  </si>
  <si>
    <t xml:space="preserve">H11</t>
  </si>
  <si>
    <t xml:space="preserve">988 Suicide &amp; Crisis Lifeline</t>
  </si>
  <si>
    <t xml:space="preserve">Call or text 988</t>
  </si>
  <si>
    <t xml:space="preserve">National line, added for safety.</t>
  </si>
  <si>
    <t xml:space="preserve">General knowledge, not from a Rutgers page</t>
  </si>
  <si>
    <t xml:space="preserve">No (general knowledge)</t>
  </si>
  <si>
    <t xml:space="preserve">H12</t>
  </si>
  <si>
    <t xml:space="preserve">Rutgers Dining - RU Express / Meal Plan Office</t>
  </si>
  <si>
    <t xml:space="preserve">Partner contact</t>
  </si>
  <si>
    <t xml:space="preserve">(848) 932-8041</t>
  </si>
  <si>
    <t xml:space="preserve">Ask about swipe or RU Express integration.</t>
  </si>
  <si>
    <t xml:space="preserve">food.rutgers.edu/hours-of-operation</t>
  </si>
  <si>
    <t xml:space="preserve">H13</t>
  </si>
  <si>
    <t xml:space="preserve">Rutgers Dining marketing contact</t>
  </si>
  <si>
    <t xml:space="preserve">marketing@dining.rutgers.edu</t>
  </si>
  <si>
    <t xml:space="preserve">Rutgers Dining lists this for questions about its retail locations.</t>
  </si>
  <si>
    <t xml:space="preserve">food.rutgers.edu/places-eat</t>
  </si>
  <si>
    <t xml:space="preserve">source_id</t>
  </si>
  <si>
    <t xml:space="preserve">url</t>
  </si>
  <si>
    <t xml:space="preserve">publisher</t>
  </si>
  <si>
    <t xml:space="preserve">what_it_supports</t>
  </si>
  <si>
    <t xml:space="preserve">accessed</t>
  </si>
  <si>
    <t xml:space="preserve">SRC01</t>
  </si>
  <si>
    <t xml:space="preserve">https://food.rutgers.edu/hours-of-operation</t>
  </si>
  <si>
    <t xml:space="preserve">Rutgers Dining</t>
  </si>
  <si>
    <t xml:space="preserve">Hours for Atrium, Cafe West, Kilmer's Market, Henry's Diner, Harvest Juice Bar, Woody's Cafe, Douglass Cafe; Atrium swipe rule.</t>
  </si>
  <si>
    <t xml:space="preserve">2026-10-10</t>
  </si>
  <si>
    <t xml:space="preserve">SRC02</t>
  </si>
  <si>
    <t xml:space="preserve">https://food.rutgers.edu/places-eat</t>
  </si>
  <si>
    <t xml:space="preserve">Meal-swipe eligibility, Kilmer's selling toiletries/school supplies/grocery, map embeds used for coordinates.</t>
  </si>
  <si>
    <t xml:space="preserve">SRC03</t>
  </si>
  <si>
    <t xml:space="preserve">https://food.rutgers.edu/policies/retail</t>
  </si>
  <si>
    <t xml:space="preserve">$10 retail swipe value and 3-swipes-per-day limit; list of retail locations accepting swipes.</t>
  </si>
  <si>
    <t xml:space="preserve">SRC04</t>
  </si>
  <si>
    <t xml:space="preserve">https://food.rutgers.edu/ru-express/participating-locations</t>
  </si>
  <si>
    <t xml:space="preserve">RU Express acceptance list (Feb 2026 notice includes all 8 locations).</t>
  </si>
  <si>
    <t xml:space="preserve">SRC05</t>
  </si>
  <si>
    <t xml:space="preserve">https://sca.rutgers.edu/student-centers/our-centers/cook-student-center</t>
  </si>
  <si>
    <t xml:space="preserve">Rutgers Student Centers</t>
  </si>
  <si>
    <t xml:space="preserve">Cook Student Center address (59 Biel Rd) and hours (12:00-24:00).</t>
  </si>
  <si>
    <t xml:space="preserve">SRC06</t>
  </si>
  <si>
    <t xml:space="preserve">https://health.rutgers.edu/node/42</t>
  </si>
  <si>
    <t xml:space="preserve">Rutgers Student Health</t>
  </si>
  <si>
    <t xml:space="preserve">Emergency, Advice Nurse Line, crisis contacts.</t>
  </si>
  <si>
    <t xml:space="preserve">SRC07</t>
  </si>
  <si>
    <t xml:space="preserve">https://health.rutgers.edu/medical-and-counseling-services/make-appointment</t>
  </si>
  <si>
    <t xml:space="preserve">Health center addresses and appointment phone.</t>
  </si>
  <si>
    <t xml:space="preserve">SRC08</t>
  </si>
  <si>
    <t xml:space="preserve">https://health.rutgers.edu/resources/pharmacy-resources</t>
  </si>
  <si>
    <t xml:space="preserve">Student Health Pharmacy prescriptions moved to Walgreens; OTC items available at any pharmacy.</t>
  </si>
  <si>
    <t xml:space="preserve">SRC09</t>
  </si>
  <si>
    <t xml:space="preserve">https://dailytargum.com/article/2024/04/editorial-to-swipe-or-not-to-swipe</t>
  </si>
  <si>
    <t xml:space="preserve">The Daily Targum (editorial)</t>
  </si>
  <si>
    <t xml:space="preserve">Cafe West is in the west wing of the Academic Building; Cafe West closed weekends.</t>
  </si>
  <si>
    <t xml:space="preserve">SRC10</t>
  </si>
  <si>
    <t xml:space="preserve">https://health.rutgers.edu/health-education-and-promotion/health-promotion-peer-education/safer-sex-supplies</t>
  </si>
  <si>
    <t xml:space="preserve">RU Wrapped (8 Lafayette St) already provides condoms and emergency contraception - why they are not in this catalog.</t>
  </si>
  <si>
    <t xml:space="preserve">sheet</t>
  </si>
  <si>
    <t xml:space="preserve">field</t>
  </si>
  <si>
    <t xml:space="preserve">description</t>
  </si>
  <si>
    <t xml:space="preserve">allowed_values_or_formula</t>
  </si>
  <si>
    <t xml:space="preserve">origin</t>
  </si>
  <si>
    <t xml:space="preserve">text</t>
  </si>
  <si>
    <t xml:space="preserve">Unique ID (L01-L08). Primary key.</t>
  </si>
  <si>
    <t xml:space="preserve">L01...L08</t>
  </si>
  <si>
    <t xml:space="preserve">Defined here</t>
  </si>
  <si>
    <t xml:space="preserve">Official name used by Rutgers Dining.</t>
  </si>
  <si>
    <t xml:space="preserve">Verified</t>
  </si>
  <si>
    <t xml:space="preserve">Service zone.</t>
  </si>
  <si>
    <t xml:space="preserve">College Avenue | Busch | Livingston | Cook/Douglass</t>
  </si>
  <si>
    <t xml:space="preserve">Building or area.</t>
  </si>
  <si>
    <t xml:space="preserve">Verified except Cafe West (editorial) and Cook Cafe (unverified)</t>
  </si>
  <si>
    <t xml:space="preserve">latitude / longitude</t>
  </si>
  <si>
    <t xml:space="preserve">number</t>
  </si>
  <si>
    <t xml:space="preserve">Approximate center from the Google Maps embed on Rutgers' page. Blank for Cook Cafe.</t>
  </si>
  <si>
    <t xml:space="preserve">decimal degrees</t>
  </si>
  <si>
    <t xml:space="preserve">Approximate (verify)</t>
  </si>
  <si>
    <t xml:space="preserve">Whether Rutgers lists the location as meal-swipe eligible for FOOD today.</t>
  </si>
  <si>
    <t xml:space="preserve">Whether the Feb 2026 RU Express list includes it.</t>
  </si>
  <si>
    <t xml:space="preserve">Swipe rules at that location.</t>
  </si>
  <si>
    <t xml:space="preserve">hours_basis / *_open / *_close</t>
  </si>
  <si>
    <t xml:space="preserve">Posted hours in 24-hour HH:MM. Blank = closed or not listed. 24:00 = midnight.</t>
  </si>
  <si>
    <t xml:space="preserve">Verified 2026-10-10 except Cook Cafe</t>
  </si>
  <si>
    <t xml:space="preserve">The OTC section is a PROPOSAL. No listed location is known to sell medicine today.</t>
  </si>
  <si>
    <t xml:space="preserve">Project assumption</t>
  </si>
  <si>
    <t xml:space="preserve">reservation_supported / *_verification_supported</t>
  </si>
  <si>
    <t xml:space="preserve">Features the prototype would support.</t>
  </si>
  <si>
    <t xml:space="preserve">Project design</t>
  </si>
  <si>
    <t xml:space="preserve">Full = carries all 28 products in the proposal. Core = carries the 12 core products.</t>
  </si>
  <si>
    <t xml:space="preserve">Full | Core</t>
  </si>
  <si>
    <t xml:space="preserve">Project design (simulated)</t>
  </si>
  <si>
    <t xml:space="preserve">Unique ID (P01-P28). Primary key.</t>
  </si>
  <si>
    <t xml:space="preserve">Specific brand (generic device where brand varies).</t>
  </si>
  <si>
    <t xml:space="preserve">Project choice</t>
  </si>
  <si>
    <t xml:space="preserve">Main ingredient or product type.</t>
  </si>
  <si>
    <t xml:space="preserve">General OTC knowledge</t>
  </si>
  <si>
    <t xml:space="preserve">simple_definition / typical_use</t>
  </si>
  <si>
    <t xml:space="preserve">Plain-language description for the app's product page. Not medical advice.</t>
  </si>
  <si>
    <t xml:space="preserve">Short, generic caution. No dosing. Always defer to the package and a pharmacist.</t>
  </si>
  <si>
    <t xml:space="preserve">Core items appear at every location in the proposal; Extended items only at Full locations.</t>
  </si>
  <si>
    <t xml:space="preserve">Core | Extended</t>
  </si>
  <si>
    <t xml:space="preserve">Proposed purchase limit.</t>
  </si>
  <si>
    <t xml:space="preserve">Simulated policy</t>
  </si>
  <si>
    <t xml:space="preserve">Pharmacist/staff involvement is TBD, so all set to No.</t>
  </si>
  <si>
    <t xml:space="preserve">Placeholder</t>
  </si>
  <si>
    <t xml:space="preserve">Unique ID (INV-001...INV-224). One row per location x product (8 x 28).</t>
  </si>
  <si>
    <t xml:space="preserve">location_id / product_id</t>
  </si>
  <si>
    <t xml:space="preserve">Foreign keys to Locations and Products.</t>
  </si>
  <si>
    <t xml:space="preserve">location_name, campus_zone, product_name, category</t>
  </si>
  <si>
    <t xml:space="preserve">formula</t>
  </si>
  <si>
    <t xml:space="preserve">Lookups (green text) from Locations and Products.</t>
  </si>
  <si>
    <t xml:space="preserve">INDEX/MATCH</t>
  </si>
  <si>
    <t xml:space="preserve">Derived</t>
  </si>
  <si>
    <t xml:space="preserve">Yes if the proposal carries this product at this location.</t>
  </si>
  <si>
    <t xml:space="preserve">Yes | No</t>
  </si>
  <si>
    <t xml:space="preserve">Simulated</t>
  </si>
  <si>
    <t xml:space="preserve">Simulated stock state.</t>
  </si>
  <si>
    <t xml:space="preserve">Available | Low stock | Out of stock | Unknown | Temporarily unavailable | Not stocked in proposal</t>
  </si>
  <si>
    <t xml:space="preserve">Broad quantity label from the status (no exact counts, by design).</t>
  </si>
  <si>
    <t xml:space="preserve">Good supply | Few left | None | Unavailable | Unknown | -</t>
  </si>
  <si>
    <t xml:space="preserve">Who last reported the status.</t>
  </si>
  <si>
    <t xml:space="preserve">Staff verified | Authorized student verified | Multiple student reports | Single student report | Unverified Data</t>
  </si>
  <si>
    <t xml:space="preserve">When that report was made. Blue text = input.</t>
  </si>
  <si>
    <t xml:space="preserve">DEMO_NOW minus last_verified.</t>
  </si>
  <si>
    <t xml:space="preserve">Staff = Config B4; student types = Config B3.</t>
  </si>
  <si>
    <t xml:space="preserve">Becomes 'Stale report' once minutes_since_verified exceeds validity_minutes.</t>
  </si>
  <si>
    <t xml:space="preserve">Yes if Available or Low stock; 'Verify first' if the report is stale; otherwise No.</t>
  </si>
  <si>
    <t xml:space="preserve">retail_swipe_status / payment_options</t>
  </si>
  <si>
    <t xml:space="preserve">'proposed_pending_approval' for stocked items.</t>
  </si>
  <si>
    <t xml:space="preserve">quantity_limit, requires_staff_assistance</t>
  </si>
  <si>
    <t xml:space="preserve">Lookups from Products.</t>
  </si>
  <si>
    <t xml:space="preserve">Unique ID (R-01...R-20). 20 sample reports behind the demo scenarios; other inventory timestamps are simulated without a source report.</t>
  </si>
  <si>
    <t xml:space="preserve">Foreign key to Inventory.</t>
  </si>
  <si>
    <t xml:space="preserve">Who sent the report.</t>
  </si>
  <si>
    <t xml:space="preserve">Rutgers staff | Authorized student | Student (basic)</t>
  </si>
  <si>
    <t xml:space="preserve">Anonymous placeholder. No names, emails, or RUIDs.</t>
  </si>
  <si>
    <t xml:space="preserve">geofence_distance_m / geofence_result</t>
  </si>
  <si>
    <t xml:space="preserve">number/formula</t>
  </si>
  <si>
    <t xml:space="preserve">Simulated distance between the phone and the location; Pass if within Config B6.</t>
  </si>
  <si>
    <t xml:space="preserve">Pass | Fail | n/a (staff)</t>
  </si>
  <si>
    <t xml:space="preserve">Simulated / Derived</t>
  </si>
  <si>
    <t xml:space="preserve">photo_attached / photo_review</t>
  </si>
  <si>
    <t xml:space="preserve">Whether a shelf photo was sent and reviewed.</t>
  </si>
  <si>
    <t xml:space="preserve">Yes|No ; Approved|Pending|n/a</t>
  </si>
  <si>
    <t xml:space="preserve">Accepted, Counted, Pending photo review, or Rejected.</t>
  </si>
  <si>
    <t xml:space="preserve">expires_at / valid_at_demo_now</t>
  </si>
  <si>
    <t xml:space="preserve">Report time + validity; compared with DEMO_NOW.</t>
  </si>
  <si>
    <t xml:space="preserve">Valid | Expired</t>
  </si>
  <si>
    <t xml:space="preserve">Unique ID (RES-01...RES-10).</t>
  </si>
  <si>
    <t xml:space="preserve">Anonymous placeholder.</t>
  </si>
  <si>
    <t xml:space="preserve">status / effective_status</t>
  </si>
  <si>
    <t xml:space="preserve">text/formula</t>
  </si>
  <si>
    <t xml:space="preserve">Stored status; effective_status turns an uncollected Active hold into 'Expired (auto)' after reservation_minutes.</t>
  </si>
  <si>
    <t xml:space="preserve">Active | Collected | Cancelled | Declined (first come, first served) | Expired (auto)</t>
  </si>
  <si>
    <t xml:space="preserve">'Proposed ...' methods do not exist today.</t>
  </si>
  <si>
    <t xml:space="preserve">Random placeholder, not a real QR token.</t>
  </si>
  <si>
    <t xml:space="preserve">(all cells)</t>
  </si>
  <si>
    <t xml:space="preserve">Haversine straight-line km and rough walk minutes from Locations coordinates.</t>
  </si>
  <si>
    <t xml:space="preserve">Derived (estimate)</t>
  </si>
  <si>
    <t xml:space="preserve">COUNTIFS over Inventory and Reservations.</t>
  </si>
  <si>
    <t xml:space="preserve">(all fields)</t>
  </si>
  <si>
    <t xml:space="preserve">Real Rutgers contacts for the app's escalation path.</t>
  </si>
  <si>
    <t xml:space="preserve">Verified except H11</t>
  </si>
</sst>
</file>

<file path=xl/styles.xml><?xml version="1.0" encoding="utf-8"?>
<styleSheet xmlns="http://schemas.openxmlformats.org/spreadsheetml/2006/main">
  <numFmts count="5">
    <numFmt numFmtId="164" formatCode="General"/>
    <numFmt numFmtId="165" formatCode="yyyy\-mm\-dd\ hh:mm"/>
    <numFmt numFmtId="166" formatCode="0.000000"/>
    <numFmt numFmtId="167" formatCode="0.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6"/>
      <color rgb="FFCC0033"/>
      <name val="Arial"/>
      <family val="0"/>
      <charset val="1"/>
    </font>
    <font>
      <sz val="10"/>
      <name val="Arial"/>
      <family val="0"/>
      <charset val="1"/>
    </font>
    <font>
      <b val="true"/>
      <sz val="11"/>
      <color rgb="FFCC0033"/>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name val="Arial"/>
      <family val="2"/>
    </font>
    <font>
      <sz val="10"/>
      <color rgb="FF008000"/>
      <name val="Arial"/>
      <family val="0"/>
      <charset val="1"/>
    </font>
  </fonts>
  <fills count="7">
    <fill>
      <patternFill patternType="none"/>
    </fill>
    <fill>
      <patternFill patternType="gray125"/>
    </fill>
    <fill>
      <patternFill patternType="solid">
        <fgColor rgb="FFE2EFDA"/>
        <bgColor rgb="FFEDEDED"/>
      </patternFill>
    </fill>
    <fill>
      <patternFill patternType="solid">
        <fgColor rgb="FFFCE4D6"/>
        <bgColor rgb="FFFFF2CC"/>
      </patternFill>
    </fill>
    <fill>
      <patternFill patternType="solid">
        <fgColor rgb="FFFFF2CC"/>
        <bgColor rgb="FFFCE4D6"/>
      </patternFill>
    </fill>
    <fill>
      <patternFill patternType="solid">
        <fgColor rgb="FFCC0033"/>
        <bgColor rgb="FF8000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6" fontId="5" fillId="6"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CC0033"/>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8000"/>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00FF"/>
          <bgColor rgb="FF000000"/>
        </patternFill>
      </fill>
    </dxf>
    <dxf>
      <fill>
        <patternFill>
          <bgColor rgb="FFC6EFCE"/>
        </patternFill>
      </fill>
    </dxf>
    <dxf>
      <fill>
        <patternFill>
          <bgColor rgb="FFFFEB9C"/>
        </patternFill>
      </fill>
    </dxf>
    <dxf>
      <fill>
        <patternFill>
          <bgColor rgb="FFFFC7CE"/>
        </patternFill>
      </fill>
    </dxf>
    <dxf>
      <fill>
        <patternFill>
          <bgColor rgb="FFD9D9D9"/>
        </patternFill>
      </fill>
    </dxf>
    <dxf>
      <fill>
        <patternFill>
          <bgColor rgb="FFF8CBAD"/>
        </patternFill>
      </fill>
    </dxf>
    <dxf>
      <fill>
        <patternFill>
          <bgColor rgb="FFEDEDED"/>
        </patternFill>
      </fill>
    </dxf>
  </dxfs>
  <colors>
    <indexedColors>
      <rgbColor rgb="FF000000"/>
      <rgbColor rgb="FFFFFFFF"/>
      <rgbColor rgb="FFCC0033"/>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C6EFCE"/>
      <rgbColor rgb="FFFFEB9C"/>
      <rgbColor rgb="FFFCE4D6"/>
      <rgbColor rgb="FFFFC7CE"/>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13.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3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23.25" hidden="false" customHeight="true" outlineLevel="0" collapsed="false">
      <c r="A5" s="5" t="s">
        <v>3</v>
      </c>
      <c r="B5" s="6" t="s">
        <v>4</v>
      </c>
    </row>
    <row r="6" customFormat="false" ht="15" hidden="false" customHeight="true" outlineLevel="0" collapsed="false">
      <c r="A6" s="7" t="s">
        <v>5</v>
      </c>
      <c r="B6" s="8" t="s">
        <v>6</v>
      </c>
    </row>
    <row r="7" customFormat="false" ht="23.25" hidden="false" customHeight="true" outlineLevel="0" collapsed="false">
      <c r="A7" s="9" t="s">
        <v>7</v>
      </c>
      <c r="B7" s="10" t="s">
        <v>8</v>
      </c>
    </row>
    <row r="8" customFormat="false" ht="34.5" hidden="false" customHeight="true" outlineLevel="0" collapsed="false">
      <c r="A8" s="11" t="s">
        <v>9</v>
      </c>
      <c r="B8" s="12" t="s">
        <v>10</v>
      </c>
    </row>
    <row r="9" customFormat="false" ht="23.25" hidden="false" customHeight="true" outlineLevel="0" collapsed="false">
      <c r="A9" s="11" t="s">
        <v>11</v>
      </c>
      <c r="B9" s="12" t="s">
        <v>12</v>
      </c>
    </row>
    <row r="10" customFormat="false" ht="15" hidden="false" customHeight="true" outlineLevel="0" collapsed="false">
      <c r="A10" s="11" t="s">
        <v>13</v>
      </c>
      <c r="B10" s="12" t="s">
        <v>14</v>
      </c>
    </row>
    <row r="11" customFormat="false" ht="15" hidden="false" customHeight="true" outlineLevel="0" collapsed="false">
      <c r="A11" s="11" t="s">
        <v>15</v>
      </c>
      <c r="B11" s="12" t="s">
        <v>16</v>
      </c>
    </row>
    <row r="12" customFormat="false" ht="23.25" hidden="false" customHeight="true" outlineLevel="0" collapsed="false">
      <c r="A12" s="11" t="s">
        <v>17</v>
      </c>
      <c r="B12" s="12" t="s">
        <v>18</v>
      </c>
    </row>
    <row r="14" customFormat="false" ht="15" hidden="false" customHeight="true" outlineLevel="0" collapsed="false">
      <c r="A14" s="4" t="s">
        <v>19</v>
      </c>
    </row>
    <row r="15" customFormat="false" ht="15" hidden="false" customHeight="true" outlineLevel="0" collapsed="false">
      <c r="A15" s="13" t="s">
        <v>20</v>
      </c>
      <c r="B15" s="12" t="s">
        <v>21</v>
      </c>
    </row>
    <row r="16" customFormat="false" ht="15" hidden="false" customHeight="true" outlineLevel="0" collapsed="false">
      <c r="A16" s="13" t="s">
        <v>22</v>
      </c>
      <c r="B16" s="12" t="s">
        <v>23</v>
      </c>
    </row>
    <row r="17" customFormat="false" ht="15" hidden="false" customHeight="true" outlineLevel="0" collapsed="false">
      <c r="A17" s="13" t="s">
        <v>24</v>
      </c>
      <c r="B17" s="12" t="s">
        <v>25</v>
      </c>
    </row>
    <row r="18" customFormat="false" ht="15" hidden="false" customHeight="true" outlineLevel="0" collapsed="false">
      <c r="A18" s="13" t="s">
        <v>26</v>
      </c>
      <c r="B18" s="12" t="s">
        <v>27</v>
      </c>
    </row>
    <row r="19" customFormat="false" ht="15" hidden="false" customHeight="true" outlineLevel="0" collapsed="false">
      <c r="A19" s="13" t="s">
        <v>28</v>
      </c>
      <c r="B19" s="12" t="s">
        <v>29</v>
      </c>
    </row>
    <row r="20" customFormat="false" ht="15" hidden="false" customHeight="true" outlineLevel="0" collapsed="false">
      <c r="A20" s="13" t="s">
        <v>30</v>
      </c>
      <c r="B20" s="12" t="s">
        <v>31</v>
      </c>
    </row>
    <row r="21" customFormat="false" ht="15" hidden="false" customHeight="true" outlineLevel="0" collapsed="false">
      <c r="A21" s="13" t="s">
        <v>32</v>
      </c>
      <c r="B21" s="12" t="s">
        <v>33</v>
      </c>
    </row>
    <row r="22" customFormat="false" ht="15" hidden="false" customHeight="true" outlineLevel="0" collapsed="false">
      <c r="A22" s="13" t="s">
        <v>34</v>
      </c>
      <c r="B22" s="12" t="s">
        <v>35</v>
      </c>
    </row>
    <row r="23" customFormat="false" ht="15" hidden="false" customHeight="true" outlineLevel="0" collapsed="false">
      <c r="A23" s="13" t="s">
        <v>36</v>
      </c>
      <c r="B23" s="12" t="s">
        <v>37</v>
      </c>
    </row>
    <row r="24" customFormat="false" ht="15" hidden="false" customHeight="true" outlineLevel="0" collapsed="false">
      <c r="A24" s="13" t="s">
        <v>38</v>
      </c>
      <c r="B24" s="12" t="s">
        <v>39</v>
      </c>
    </row>
    <row r="25" customFormat="false" ht="15" hidden="false" customHeight="true" outlineLevel="0" collapsed="false">
      <c r="A25" s="13" t="s">
        <v>40</v>
      </c>
      <c r="B25" s="12" t="s">
        <v>41</v>
      </c>
    </row>
    <row r="26" customFormat="false" ht="15" hidden="false" customHeight="true" outlineLevel="0" collapsed="false">
      <c r="A26" s="13" t="s">
        <v>42</v>
      </c>
      <c r="B26" s="12"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20"/>
    <col collapsed="false" customWidth="true" hidden="false" outlineLevel="0" max="3" min="3" style="1" width="16"/>
    <col collapsed="false" customWidth="true" hidden="false" outlineLevel="0" max="4" min="4" style="1" width="80"/>
    <col collapsed="false" customWidth="true" hidden="false" outlineLevel="0" max="5" min="5" style="1" width="34"/>
  </cols>
  <sheetData>
    <row r="1" customFormat="false" ht="31.5" hidden="false" customHeight="true" outlineLevel="0" collapsed="false">
      <c r="A1" s="14" t="s">
        <v>44</v>
      </c>
      <c r="B1" s="14" t="s">
        <v>45</v>
      </c>
      <c r="C1" s="14" t="s">
        <v>46</v>
      </c>
      <c r="D1" s="14" t="s">
        <v>47</v>
      </c>
      <c r="E1" s="14" t="s">
        <v>48</v>
      </c>
      <c r="G1" s="13" t="s">
        <v>49</v>
      </c>
    </row>
    <row r="2" customFormat="false" ht="23.25" hidden="false" customHeight="true" outlineLevel="0" collapsed="false">
      <c r="A2" s="15" t="s">
        <v>50</v>
      </c>
      <c r="B2" s="16" t="n">
        <v>46308.625</v>
      </c>
      <c r="C2" s="15" t="s">
        <v>51</v>
      </c>
      <c r="D2" s="15" t="s">
        <v>52</v>
      </c>
      <c r="E2" s="15" t="s">
        <v>53</v>
      </c>
    </row>
    <row r="3" customFormat="false" ht="23.25" hidden="false" customHeight="true" outlineLevel="0" collapsed="false">
      <c r="A3" s="15" t="s">
        <v>54</v>
      </c>
      <c r="B3" s="17" t="n">
        <v>60</v>
      </c>
      <c r="C3" s="15" t="s">
        <v>55</v>
      </c>
      <c r="D3" s="15" t="s">
        <v>56</v>
      </c>
      <c r="E3" s="15" t="s">
        <v>57</v>
      </c>
    </row>
    <row r="4" customFormat="false" ht="15" hidden="false" customHeight="true" outlineLevel="0" collapsed="false">
      <c r="A4" s="15" t="s">
        <v>58</v>
      </c>
      <c r="B4" s="17" t="n">
        <v>240</v>
      </c>
      <c r="C4" s="15" t="s">
        <v>55</v>
      </c>
      <c r="D4" s="15" t="s">
        <v>59</v>
      </c>
      <c r="E4" s="15" t="s">
        <v>57</v>
      </c>
    </row>
    <row r="5" customFormat="false" ht="15" hidden="false" customHeight="true" outlineLevel="0" collapsed="false">
      <c r="A5" s="15" t="s">
        <v>60</v>
      </c>
      <c r="B5" s="17" t="n">
        <v>75</v>
      </c>
      <c r="C5" s="15" t="s">
        <v>55</v>
      </c>
      <c r="D5" s="15" t="s">
        <v>61</v>
      </c>
      <c r="E5" s="15" t="s">
        <v>57</v>
      </c>
    </row>
    <row r="6" customFormat="false" ht="23.25" hidden="false" customHeight="true" outlineLevel="0" collapsed="false">
      <c r="A6" s="15" t="s">
        <v>62</v>
      </c>
      <c r="B6" s="17" t="n">
        <v>150</v>
      </c>
      <c r="C6" s="15" t="s">
        <v>63</v>
      </c>
      <c r="D6" s="15" t="s">
        <v>64</v>
      </c>
      <c r="E6" s="15" t="s">
        <v>65</v>
      </c>
    </row>
    <row r="7" customFormat="false" ht="15" hidden="false" customHeight="true" outlineLevel="0" collapsed="false">
      <c r="A7" s="15" t="s">
        <v>66</v>
      </c>
      <c r="B7" s="17" t="n">
        <v>10</v>
      </c>
      <c r="C7" s="15" t="s">
        <v>67</v>
      </c>
      <c r="D7" s="15" t="s">
        <v>68</v>
      </c>
      <c r="E7" s="15" t="s">
        <v>69</v>
      </c>
    </row>
    <row r="8" customFormat="false" ht="15" hidden="false" customHeight="true" outlineLevel="0" collapsed="false">
      <c r="A8" s="15" t="s">
        <v>70</v>
      </c>
      <c r="B8" s="17" t="n">
        <v>3</v>
      </c>
      <c r="C8" s="15" t="s">
        <v>71</v>
      </c>
      <c r="D8" s="15" t="s">
        <v>72</v>
      </c>
      <c r="E8" s="15" t="s">
        <v>73</v>
      </c>
    </row>
    <row r="9" customFormat="false" ht="15" hidden="false" customHeight="true" outlineLevel="0" collapsed="false">
      <c r="A9" s="15" t="s">
        <v>74</v>
      </c>
      <c r="B9" s="17" t="n">
        <v>4.8</v>
      </c>
      <c r="C9" s="15" t="s">
        <v>75</v>
      </c>
      <c r="D9" s="15" t="s">
        <v>76</v>
      </c>
      <c r="E9" s="15" t="s">
        <v>65</v>
      </c>
    </row>
    <row r="10" customFormat="false" ht="15" hidden="false" customHeight="true" outlineLevel="0" collapsed="false">
      <c r="A10" s="15" t="s">
        <v>77</v>
      </c>
      <c r="B10" s="17" t="n">
        <v>1.3</v>
      </c>
      <c r="C10" s="15" t="s">
        <v>78</v>
      </c>
      <c r="D10" s="15" t="s">
        <v>79</v>
      </c>
      <c r="E10" s="15" t="s">
        <v>65</v>
      </c>
    </row>
    <row r="11" customFormat="false" ht="15" hidden="false" customHeight="true" outlineLevel="0" collapsed="false">
      <c r="A11" s="15" t="s">
        <v>80</v>
      </c>
      <c r="B11" s="17" t="n">
        <v>0.4</v>
      </c>
      <c r="C11" s="15" t="s">
        <v>81</v>
      </c>
      <c r="D11" s="15" t="s">
        <v>82</v>
      </c>
      <c r="E11" s="15" t="s">
        <v>83</v>
      </c>
    </row>
    <row r="12" customFormat="false" ht="15" hidden="false" customHeight="true" outlineLevel="0" collapsed="false">
      <c r="A12" s="15" t="s">
        <v>84</v>
      </c>
      <c r="B12" s="17" t="n">
        <v>0.25</v>
      </c>
      <c r="C12" s="15" t="s">
        <v>81</v>
      </c>
      <c r="D12" s="15" t="s">
        <v>85</v>
      </c>
      <c r="E12" s="15" t="s">
        <v>83</v>
      </c>
    </row>
    <row r="13" customFormat="false" ht="15" hidden="false" customHeight="true" outlineLevel="0" collapsed="false">
      <c r="A13" s="15" t="s">
        <v>86</v>
      </c>
      <c r="B13" s="17" t="n">
        <v>0.2</v>
      </c>
      <c r="C13" s="15" t="s">
        <v>81</v>
      </c>
      <c r="D13" s="15" t="s">
        <v>85</v>
      </c>
      <c r="E13" s="15" t="s">
        <v>83</v>
      </c>
    </row>
    <row r="14" customFormat="false" ht="15" hidden="false" customHeight="true" outlineLevel="0" collapsed="false">
      <c r="A14" s="15" t="s">
        <v>87</v>
      </c>
      <c r="B14" s="17" t="n">
        <v>0.15</v>
      </c>
      <c r="C14" s="15" t="s">
        <v>81</v>
      </c>
      <c r="D14" s="15" t="s">
        <v>85</v>
      </c>
      <c r="E14" s="15" t="s">
        <v>83</v>
      </c>
    </row>
    <row r="15" customFormat="false" ht="15" hidden="false" customHeight="true" outlineLevel="0" collapsed="false">
      <c r="A15" s="15" t="s">
        <v>88</v>
      </c>
      <c r="B15" s="17" t="n">
        <v>0.2</v>
      </c>
      <c r="C15" s="15" t="s">
        <v>89</v>
      </c>
      <c r="D15" s="15" t="s">
        <v>90</v>
      </c>
      <c r="E15" s="15"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16"/>
    <col collapsed="false" customWidth="true" hidden="false" outlineLevel="0" max="4" min="4" style="1" width="36"/>
    <col collapsed="false" customWidth="true" hidden="false" outlineLevel="0" max="5" min="5" style="1" width="11"/>
    <col collapsed="false" customWidth="true" hidden="false" outlineLevel="0" max="6" min="6" style="1" width="12"/>
    <col collapsed="false" customWidth="true" hidden="false" outlineLevel="0" max="7" min="7" style="1" width="30"/>
    <col collapsed="false" customWidth="true" hidden="false" outlineLevel="0" max="8" min="8" style="1" width="16"/>
    <col collapsed="false" customWidth="true" hidden="false" outlineLevel="0" max="10" min="9" style="1" width="14"/>
    <col collapsed="false" customWidth="true" hidden="false" outlineLevel="0" max="11" min="11" style="1" width="44"/>
    <col collapsed="false" customWidth="true" hidden="false" outlineLevel="0" max="12" min="12" style="1" width="38"/>
    <col collapsed="false" customWidth="true" hidden="false" outlineLevel="0" max="20" min="13" style="1" width="9"/>
    <col collapsed="false" customWidth="true" hidden="false" outlineLevel="0" max="21" min="21" style="1" width="22"/>
    <col collapsed="false" customWidth="true" hidden="false" outlineLevel="0" max="24" min="22" style="1" width="14"/>
    <col collapsed="false" customWidth="true" hidden="false" outlineLevel="0" max="25" min="25" style="1" width="10"/>
    <col collapsed="false" customWidth="true" hidden="false" outlineLevel="0" max="26" min="26" style="1" width="50"/>
  </cols>
  <sheetData>
    <row r="1" customFormat="false" ht="31.5" hidden="false" customHeight="true" outlineLevel="0" collapsed="false">
      <c r="A1" s="14" t="s">
        <v>91</v>
      </c>
      <c r="B1" s="14" t="s">
        <v>92</v>
      </c>
      <c r="C1" s="14" t="s">
        <v>93</v>
      </c>
      <c r="D1" s="14" t="s">
        <v>94</v>
      </c>
      <c r="E1" s="14" t="s">
        <v>95</v>
      </c>
      <c r="F1" s="14" t="s">
        <v>96</v>
      </c>
      <c r="G1" s="14" t="s">
        <v>97</v>
      </c>
      <c r="H1" s="14" t="s">
        <v>98</v>
      </c>
      <c r="I1" s="14" t="s">
        <v>99</v>
      </c>
      <c r="J1" s="14" t="s">
        <v>100</v>
      </c>
      <c r="K1" s="14" t="s">
        <v>101</v>
      </c>
      <c r="L1" s="14" t="s">
        <v>102</v>
      </c>
      <c r="M1" s="14" t="s">
        <v>103</v>
      </c>
      <c r="N1" s="14" t="s">
        <v>104</v>
      </c>
      <c r="O1" s="14" t="s">
        <v>105</v>
      </c>
      <c r="P1" s="14" t="s">
        <v>106</v>
      </c>
      <c r="Q1" s="14" t="s">
        <v>107</v>
      </c>
      <c r="R1" s="14" t="s">
        <v>108</v>
      </c>
      <c r="S1" s="14" t="s">
        <v>109</v>
      </c>
      <c r="T1" s="14" t="s">
        <v>110</v>
      </c>
      <c r="U1" s="14" t="s">
        <v>111</v>
      </c>
      <c r="V1" s="14" t="s">
        <v>112</v>
      </c>
      <c r="W1" s="14" t="s">
        <v>113</v>
      </c>
      <c r="X1" s="14" t="s">
        <v>114</v>
      </c>
      <c r="Y1" s="14" t="s">
        <v>115</v>
      </c>
      <c r="Z1" s="14" t="s">
        <v>116</v>
      </c>
    </row>
    <row r="2" customFormat="false" ht="34.5" hidden="false" customHeight="true" outlineLevel="0" collapsed="false">
      <c r="A2" s="18" t="s">
        <v>117</v>
      </c>
      <c r="B2" s="18" t="s">
        <v>118</v>
      </c>
      <c r="C2" s="18" t="s">
        <v>119</v>
      </c>
      <c r="D2" s="15" t="s">
        <v>120</v>
      </c>
      <c r="E2" s="19" t="n">
        <v>40.502873</v>
      </c>
      <c r="F2" s="19" t="n">
        <v>-74.45482</v>
      </c>
      <c r="G2" s="15" t="s">
        <v>121</v>
      </c>
      <c r="H2" s="18" t="s">
        <v>122</v>
      </c>
      <c r="I2" s="18" t="s">
        <v>123</v>
      </c>
      <c r="J2" s="18" t="s">
        <v>123</v>
      </c>
      <c r="K2" s="15" t="s">
        <v>124</v>
      </c>
      <c r="L2" s="15" t="s">
        <v>125</v>
      </c>
      <c r="M2" s="18" t="s">
        <v>126</v>
      </c>
      <c r="N2" s="18" t="s">
        <v>127</v>
      </c>
      <c r="O2" s="18" t="s">
        <v>126</v>
      </c>
      <c r="P2" s="18" t="s">
        <v>128</v>
      </c>
      <c r="Q2" s="18" t="s">
        <v>129</v>
      </c>
      <c r="R2" s="18" t="s">
        <v>130</v>
      </c>
      <c r="S2" s="18" t="s">
        <v>129</v>
      </c>
      <c r="T2" s="18" t="s">
        <v>130</v>
      </c>
      <c r="U2" s="18" t="s">
        <v>131</v>
      </c>
      <c r="V2" s="18" t="s">
        <v>132</v>
      </c>
      <c r="W2" s="18" t="s">
        <v>133</v>
      </c>
      <c r="X2" s="18" t="s">
        <v>133</v>
      </c>
      <c r="Y2" s="18" t="s">
        <v>134</v>
      </c>
      <c r="Z2" s="15" t="s">
        <v>135</v>
      </c>
    </row>
    <row r="3" customFormat="false" ht="34.5" hidden="false" customHeight="true" outlineLevel="0" collapsed="false">
      <c r="A3" s="18" t="s">
        <v>136</v>
      </c>
      <c r="B3" s="18" t="s">
        <v>137</v>
      </c>
      <c r="C3" s="18" t="s">
        <v>119</v>
      </c>
      <c r="D3" s="15" t="s">
        <v>138</v>
      </c>
      <c r="E3" s="19" t="n">
        <v>40.502116</v>
      </c>
      <c r="F3" s="19" t="n">
        <v>-74.448503</v>
      </c>
      <c r="G3" s="15" t="s">
        <v>121</v>
      </c>
      <c r="H3" s="18" t="s">
        <v>139</v>
      </c>
      <c r="I3" s="18" t="s">
        <v>123</v>
      </c>
      <c r="J3" s="18" t="s">
        <v>123</v>
      </c>
      <c r="K3" s="15" t="s">
        <v>140</v>
      </c>
      <c r="L3" s="15" t="s">
        <v>141</v>
      </c>
      <c r="M3" s="18" t="s">
        <v>142</v>
      </c>
      <c r="N3" s="18" t="s">
        <v>143</v>
      </c>
      <c r="O3" s="18" t="s">
        <v>142</v>
      </c>
      <c r="P3" s="18" t="s">
        <v>130</v>
      </c>
      <c r="Q3" s="18"/>
      <c r="R3" s="18"/>
      <c r="S3" s="18"/>
      <c r="T3" s="18"/>
      <c r="U3" s="18" t="s">
        <v>131</v>
      </c>
      <c r="V3" s="18" t="s">
        <v>132</v>
      </c>
      <c r="W3" s="18" t="s">
        <v>133</v>
      </c>
      <c r="X3" s="18" t="s">
        <v>133</v>
      </c>
      <c r="Y3" s="18" t="s">
        <v>134</v>
      </c>
      <c r="Z3" s="15" t="s">
        <v>144</v>
      </c>
    </row>
    <row r="4" customFormat="false" ht="34.5" hidden="false" customHeight="true" outlineLevel="0" collapsed="false">
      <c r="A4" s="18" t="s">
        <v>145</v>
      </c>
      <c r="B4" s="18" t="s">
        <v>146</v>
      </c>
      <c r="C4" s="18" t="s">
        <v>147</v>
      </c>
      <c r="D4" s="15" t="s">
        <v>148</v>
      </c>
      <c r="E4" s="19" t="n">
        <v>40.525739</v>
      </c>
      <c r="F4" s="19" t="n">
        <v>-74.438777</v>
      </c>
      <c r="G4" s="15" t="s">
        <v>121</v>
      </c>
      <c r="H4" s="18" t="s">
        <v>149</v>
      </c>
      <c r="I4" s="18" t="s">
        <v>123</v>
      </c>
      <c r="J4" s="18" t="s">
        <v>123</v>
      </c>
      <c r="K4" s="15" t="s">
        <v>150</v>
      </c>
      <c r="L4" s="15" t="s">
        <v>151</v>
      </c>
      <c r="M4" s="18" t="s">
        <v>152</v>
      </c>
      <c r="N4" s="18" t="s">
        <v>143</v>
      </c>
      <c r="O4" s="18" t="s">
        <v>152</v>
      </c>
      <c r="P4" s="18" t="s">
        <v>128</v>
      </c>
      <c r="Q4" s="18"/>
      <c r="R4" s="18"/>
      <c r="S4" s="18"/>
      <c r="T4" s="18"/>
      <c r="U4" s="18" t="s">
        <v>131</v>
      </c>
      <c r="V4" s="18" t="s">
        <v>132</v>
      </c>
      <c r="W4" s="18" t="s">
        <v>133</v>
      </c>
      <c r="X4" s="18" t="s">
        <v>133</v>
      </c>
      <c r="Y4" s="18" t="s">
        <v>134</v>
      </c>
      <c r="Z4" s="15" t="s">
        <v>153</v>
      </c>
    </row>
    <row r="5" customFormat="false" ht="34.5" hidden="false" customHeight="true" outlineLevel="0" collapsed="false">
      <c r="A5" s="18" t="s">
        <v>154</v>
      </c>
      <c r="B5" s="18" t="s">
        <v>155</v>
      </c>
      <c r="C5" s="18" t="s">
        <v>147</v>
      </c>
      <c r="D5" s="15" t="s">
        <v>156</v>
      </c>
      <c r="E5" s="19" t="n">
        <v>40.528617</v>
      </c>
      <c r="F5" s="19" t="n">
        <v>-74.445004</v>
      </c>
      <c r="G5" s="15" t="s">
        <v>157</v>
      </c>
      <c r="H5" s="18" t="s">
        <v>158</v>
      </c>
      <c r="I5" s="18" t="s">
        <v>123</v>
      </c>
      <c r="J5" s="18" t="s">
        <v>123</v>
      </c>
      <c r="K5" s="15" t="s">
        <v>159</v>
      </c>
      <c r="L5" s="15" t="s">
        <v>160</v>
      </c>
      <c r="M5" s="18" t="s">
        <v>161</v>
      </c>
      <c r="N5" s="18" t="s">
        <v>162</v>
      </c>
      <c r="O5" s="18" t="s">
        <v>161</v>
      </c>
      <c r="P5" s="18" t="s">
        <v>162</v>
      </c>
      <c r="Q5" s="18"/>
      <c r="R5" s="18"/>
      <c r="S5" s="18"/>
      <c r="T5" s="18"/>
      <c r="U5" s="18" t="s">
        <v>131</v>
      </c>
      <c r="V5" s="18" t="s">
        <v>132</v>
      </c>
      <c r="W5" s="18" t="s">
        <v>133</v>
      </c>
      <c r="X5" s="18" t="s">
        <v>133</v>
      </c>
      <c r="Y5" s="18" t="s">
        <v>163</v>
      </c>
      <c r="Z5" s="15" t="s">
        <v>164</v>
      </c>
    </row>
    <row r="6" customFormat="false" ht="23.25" hidden="false" customHeight="true" outlineLevel="0" collapsed="false">
      <c r="A6" s="18" t="s">
        <v>165</v>
      </c>
      <c r="B6" s="18" t="s">
        <v>166</v>
      </c>
      <c r="C6" s="18" t="s">
        <v>167</v>
      </c>
      <c r="D6" s="15" t="s">
        <v>168</v>
      </c>
      <c r="E6" s="19" t="n">
        <v>40.523332</v>
      </c>
      <c r="F6" s="19" t="n">
        <v>-74.460857</v>
      </c>
      <c r="G6" s="15" t="s">
        <v>121</v>
      </c>
      <c r="H6" s="18" t="s">
        <v>169</v>
      </c>
      <c r="I6" s="18" t="s">
        <v>123</v>
      </c>
      <c r="J6" s="18" t="s">
        <v>123</v>
      </c>
      <c r="K6" s="15" t="s">
        <v>170</v>
      </c>
      <c r="L6" s="15" t="s">
        <v>164</v>
      </c>
      <c r="M6" s="18" t="s">
        <v>161</v>
      </c>
      <c r="N6" s="18" t="s">
        <v>171</v>
      </c>
      <c r="O6" s="18" t="s">
        <v>161</v>
      </c>
      <c r="P6" s="18" t="s">
        <v>171</v>
      </c>
      <c r="Q6" s="18"/>
      <c r="R6" s="18"/>
      <c r="S6" s="18"/>
      <c r="T6" s="18"/>
      <c r="U6" s="18" t="s">
        <v>131</v>
      </c>
      <c r="V6" s="18" t="s">
        <v>132</v>
      </c>
      <c r="W6" s="18" t="s">
        <v>133</v>
      </c>
      <c r="X6" s="18" t="s">
        <v>133</v>
      </c>
      <c r="Y6" s="18" t="s">
        <v>163</v>
      </c>
      <c r="Z6" s="15" t="s">
        <v>172</v>
      </c>
    </row>
    <row r="7" customFormat="false" ht="34.5" hidden="false" customHeight="true" outlineLevel="0" collapsed="false">
      <c r="A7" s="18" t="s">
        <v>173</v>
      </c>
      <c r="B7" s="18" t="s">
        <v>174</v>
      </c>
      <c r="C7" s="18" t="s">
        <v>167</v>
      </c>
      <c r="D7" s="15" t="s">
        <v>175</v>
      </c>
      <c r="E7" s="19" t="n">
        <v>40.524487</v>
      </c>
      <c r="F7" s="19" t="n">
        <v>-74.468668</v>
      </c>
      <c r="G7" s="15" t="s">
        <v>157</v>
      </c>
      <c r="H7" s="18" t="s">
        <v>139</v>
      </c>
      <c r="I7" s="18" t="s">
        <v>123</v>
      </c>
      <c r="J7" s="18" t="s">
        <v>123</v>
      </c>
      <c r="K7" s="15" t="s">
        <v>170</v>
      </c>
      <c r="L7" s="15" t="s">
        <v>164</v>
      </c>
      <c r="M7" s="18" t="s">
        <v>176</v>
      </c>
      <c r="N7" s="18" t="s">
        <v>162</v>
      </c>
      <c r="O7" s="18" t="s">
        <v>176</v>
      </c>
      <c r="P7" s="18" t="s">
        <v>162</v>
      </c>
      <c r="Q7" s="18"/>
      <c r="R7" s="18"/>
      <c r="S7" s="18"/>
      <c r="T7" s="18"/>
      <c r="U7" s="18" t="s">
        <v>131</v>
      </c>
      <c r="V7" s="18" t="s">
        <v>132</v>
      </c>
      <c r="W7" s="18" t="s">
        <v>133</v>
      </c>
      <c r="X7" s="18" t="s">
        <v>133</v>
      </c>
      <c r="Y7" s="18" t="s">
        <v>163</v>
      </c>
      <c r="Z7" s="15" t="s">
        <v>177</v>
      </c>
    </row>
    <row r="8" customFormat="false" ht="45.75" hidden="false" customHeight="true" outlineLevel="0" collapsed="false">
      <c r="A8" s="18" t="s">
        <v>178</v>
      </c>
      <c r="B8" s="18" t="s">
        <v>179</v>
      </c>
      <c r="C8" s="18" t="s">
        <v>180</v>
      </c>
      <c r="D8" s="15" t="s">
        <v>181</v>
      </c>
      <c r="E8" s="20"/>
      <c r="F8" s="20"/>
      <c r="G8" s="15" t="s">
        <v>182</v>
      </c>
      <c r="H8" s="18" t="s">
        <v>139</v>
      </c>
      <c r="I8" s="18" t="s">
        <v>123</v>
      </c>
      <c r="J8" s="18" t="s">
        <v>123</v>
      </c>
      <c r="K8" s="15" t="s">
        <v>183</v>
      </c>
      <c r="L8" s="15" t="s">
        <v>184</v>
      </c>
      <c r="M8" s="18"/>
      <c r="N8" s="18"/>
      <c r="O8" s="18"/>
      <c r="P8" s="18"/>
      <c r="Q8" s="18"/>
      <c r="R8" s="18"/>
      <c r="S8" s="18"/>
      <c r="T8" s="18"/>
      <c r="U8" s="18" t="s">
        <v>131</v>
      </c>
      <c r="V8" s="18" t="s">
        <v>132</v>
      </c>
      <c r="W8" s="18" t="s">
        <v>133</v>
      </c>
      <c r="X8" s="18" t="s">
        <v>133</v>
      </c>
      <c r="Y8" s="18" t="s">
        <v>163</v>
      </c>
      <c r="Z8" s="15" t="s">
        <v>185</v>
      </c>
    </row>
    <row r="9" customFormat="false" ht="34.5" hidden="false" customHeight="true" outlineLevel="0" collapsed="false">
      <c r="A9" s="18" t="s">
        <v>186</v>
      </c>
      <c r="B9" s="18" t="s">
        <v>187</v>
      </c>
      <c r="C9" s="18" t="s">
        <v>180</v>
      </c>
      <c r="D9" s="15" t="s">
        <v>188</v>
      </c>
      <c r="E9" s="19" t="n">
        <v>40.484728</v>
      </c>
      <c r="F9" s="19" t="n">
        <v>-74.436627</v>
      </c>
      <c r="G9" s="15" t="s">
        <v>189</v>
      </c>
      <c r="H9" s="18" t="s">
        <v>139</v>
      </c>
      <c r="I9" s="18" t="s">
        <v>123</v>
      </c>
      <c r="J9" s="18" t="s">
        <v>123</v>
      </c>
      <c r="K9" s="15" t="s">
        <v>170</v>
      </c>
      <c r="L9" s="15" t="s">
        <v>151</v>
      </c>
      <c r="M9" s="18" t="s">
        <v>190</v>
      </c>
      <c r="N9" s="18" t="s">
        <v>128</v>
      </c>
      <c r="O9" s="18" t="s">
        <v>190</v>
      </c>
      <c r="P9" s="18" t="s">
        <v>191</v>
      </c>
      <c r="Q9" s="18"/>
      <c r="R9" s="18"/>
      <c r="S9" s="18"/>
      <c r="T9" s="18"/>
      <c r="U9" s="18" t="s">
        <v>131</v>
      </c>
      <c r="V9" s="18" t="s">
        <v>132</v>
      </c>
      <c r="W9" s="18" t="s">
        <v>133</v>
      </c>
      <c r="X9" s="18" t="s">
        <v>133</v>
      </c>
      <c r="Y9" s="18" t="s">
        <v>163</v>
      </c>
      <c r="Z9" s="15" t="s">
        <v>192</v>
      </c>
    </row>
  </sheetData>
  <autoFilter ref="A1:Z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20"/>
    <col collapsed="false" customWidth="true" hidden="false" outlineLevel="0" max="4" min="4" style="1" width="30"/>
    <col collapsed="false" customWidth="true" hidden="false" outlineLevel="0" max="5" min="5" style="1" width="34"/>
    <col collapsed="false" customWidth="true" hidden="false" outlineLevel="0" max="6" min="6" style="1" width="38"/>
    <col collapsed="false" customWidth="true" hidden="false" outlineLevel="0" max="7" min="7" style="1" width="52"/>
    <col collapsed="false" customWidth="true" hidden="false" outlineLevel="0" max="8" min="8" style="1" width="12"/>
    <col collapsed="false" customWidth="true" hidden="false" outlineLevel="0" max="10" min="9" style="1" width="14"/>
    <col collapsed="false" customWidth="true" hidden="false" outlineLevel="0" max="11" min="11" style="1" width="26"/>
    <col collapsed="false" customWidth="true" hidden="false" outlineLevel="0" max="12" min="12" style="1" width="44"/>
  </cols>
  <sheetData>
    <row r="1" customFormat="false" ht="31.5" hidden="false" customHeight="true" outlineLevel="0" collapsed="false">
      <c r="A1" s="14" t="s">
        <v>193</v>
      </c>
      <c r="B1" s="14" t="s">
        <v>194</v>
      </c>
      <c r="C1" s="14" t="s">
        <v>195</v>
      </c>
      <c r="D1" s="14" t="s">
        <v>196</v>
      </c>
      <c r="E1" s="14" t="s">
        <v>197</v>
      </c>
      <c r="F1" s="14" t="s">
        <v>198</v>
      </c>
      <c r="G1" s="14" t="s">
        <v>199</v>
      </c>
      <c r="H1" s="14" t="s">
        <v>115</v>
      </c>
      <c r="I1" s="14" t="s">
        <v>200</v>
      </c>
      <c r="J1" s="14" t="s">
        <v>201</v>
      </c>
      <c r="K1" s="14" t="s">
        <v>202</v>
      </c>
      <c r="L1" s="14" t="s">
        <v>203</v>
      </c>
    </row>
    <row r="2" customFormat="false" ht="23.25" hidden="false" customHeight="true" outlineLevel="0" collapsed="false">
      <c r="A2" s="18" t="s">
        <v>204</v>
      </c>
      <c r="B2" s="18" t="s">
        <v>205</v>
      </c>
      <c r="C2" s="18" t="s">
        <v>206</v>
      </c>
      <c r="D2" s="15" t="s">
        <v>207</v>
      </c>
      <c r="E2" s="15" t="s">
        <v>208</v>
      </c>
      <c r="F2" s="15" t="s">
        <v>209</v>
      </c>
      <c r="G2" s="15" t="s">
        <v>210</v>
      </c>
      <c r="H2" s="18" t="s">
        <v>163</v>
      </c>
      <c r="I2" s="18" t="s">
        <v>211</v>
      </c>
      <c r="J2" s="18" t="s">
        <v>212</v>
      </c>
      <c r="K2" s="18" t="s">
        <v>213</v>
      </c>
      <c r="L2" s="15" t="s">
        <v>214</v>
      </c>
    </row>
    <row r="3" customFormat="false" ht="23.25" hidden="false" customHeight="true" outlineLevel="0" collapsed="false">
      <c r="A3" s="18" t="s">
        <v>215</v>
      </c>
      <c r="B3" s="18" t="s">
        <v>216</v>
      </c>
      <c r="C3" s="18" t="s">
        <v>206</v>
      </c>
      <c r="D3" s="15" t="s">
        <v>217</v>
      </c>
      <c r="E3" s="15" t="s">
        <v>208</v>
      </c>
      <c r="F3" s="15" t="s">
        <v>218</v>
      </c>
      <c r="G3" s="15" t="s">
        <v>219</v>
      </c>
      <c r="H3" s="18" t="s">
        <v>163</v>
      </c>
      <c r="I3" s="18" t="s">
        <v>211</v>
      </c>
      <c r="J3" s="18" t="s">
        <v>212</v>
      </c>
      <c r="K3" s="18" t="s">
        <v>213</v>
      </c>
      <c r="L3" s="15" t="s">
        <v>214</v>
      </c>
    </row>
    <row r="4" customFormat="false" ht="23.25" hidden="false" customHeight="true" outlineLevel="0" collapsed="false">
      <c r="A4" s="18" t="s">
        <v>220</v>
      </c>
      <c r="B4" s="18" t="s">
        <v>221</v>
      </c>
      <c r="C4" s="18" t="s">
        <v>206</v>
      </c>
      <c r="D4" s="15" t="s">
        <v>222</v>
      </c>
      <c r="E4" s="15" t="s">
        <v>223</v>
      </c>
      <c r="F4" s="15" t="s">
        <v>224</v>
      </c>
      <c r="G4" s="15" t="s">
        <v>219</v>
      </c>
      <c r="H4" s="18" t="s">
        <v>225</v>
      </c>
      <c r="I4" s="18" t="s">
        <v>211</v>
      </c>
      <c r="J4" s="18" t="s">
        <v>212</v>
      </c>
      <c r="K4" s="18" t="s">
        <v>213</v>
      </c>
      <c r="L4" s="15" t="s">
        <v>214</v>
      </c>
    </row>
    <row r="5" customFormat="false" ht="23.25" hidden="false" customHeight="true" outlineLevel="0" collapsed="false">
      <c r="A5" s="18" t="s">
        <v>226</v>
      </c>
      <c r="B5" s="18" t="s">
        <v>227</v>
      </c>
      <c r="C5" s="18" t="s">
        <v>206</v>
      </c>
      <c r="D5" s="15" t="s">
        <v>228</v>
      </c>
      <c r="E5" s="15" t="s">
        <v>229</v>
      </c>
      <c r="F5" s="15" t="s">
        <v>230</v>
      </c>
      <c r="G5" s="15" t="s">
        <v>231</v>
      </c>
      <c r="H5" s="18" t="s">
        <v>225</v>
      </c>
      <c r="I5" s="18" t="s">
        <v>211</v>
      </c>
      <c r="J5" s="18" t="s">
        <v>212</v>
      </c>
      <c r="K5" s="18" t="s">
        <v>213</v>
      </c>
      <c r="L5" s="15" t="s">
        <v>214</v>
      </c>
    </row>
    <row r="6" customFormat="false" ht="23.25" hidden="false" customHeight="true" outlineLevel="0" collapsed="false">
      <c r="A6" s="18" t="s">
        <v>232</v>
      </c>
      <c r="B6" s="18" t="s">
        <v>233</v>
      </c>
      <c r="C6" s="18" t="s">
        <v>234</v>
      </c>
      <c r="D6" s="15" t="s">
        <v>235</v>
      </c>
      <c r="E6" s="15" t="s">
        <v>236</v>
      </c>
      <c r="F6" s="15" t="s">
        <v>237</v>
      </c>
      <c r="G6" s="15" t="s">
        <v>238</v>
      </c>
      <c r="H6" s="18" t="s">
        <v>163</v>
      </c>
      <c r="I6" s="18" t="s">
        <v>239</v>
      </c>
      <c r="J6" s="18" t="s">
        <v>212</v>
      </c>
      <c r="K6" s="18" t="s">
        <v>213</v>
      </c>
      <c r="L6" s="15" t="s">
        <v>214</v>
      </c>
    </row>
    <row r="7" customFormat="false" ht="23.25" hidden="false" customHeight="true" outlineLevel="0" collapsed="false">
      <c r="A7" s="18" t="s">
        <v>240</v>
      </c>
      <c r="B7" s="18" t="s">
        <v>241</v>
      </c>
      <c r="C7" s="18" t="s">
        <v>234</v>
      </c>
      <c r="D7" s="15" t="s">
        <v>242</v>
      </c>
      <c r="E7" s="15" t="s">
        <v>243</v>
      </c>
      <c r="F7" s="15" t="s">
        <v>244</v>
      </c>
      <c r="G7" s="15" t="s">
        <v>238</v>
      </c>
      <c r="H7" s="18" t="s">
        <v>225</v>
      </c>
      <c r="I7" s="18" t="s">
        <v>239</v>
      </c>
      <c r="J7" s="18" t="s">
        <v>212</v>
      </c>
      <c r="K7" s="18" t="s">
        <v>213</v>
      </c>
      <c r="L7" s="15" t="s">
        <v>214</v>
      </c>
    </row>
    <row r="8" customFormat="false" ht="23.25" hidden="false" customHeight="true" outlineLevel="0" collapsed="false">
      <c r="A8" s="18" t="s">
        <v>245</v>
      </c>
      <c r="B8" s="18" t="s">
        <v>246</v>
      </c>
      <c r="C8" s="18" t="s">
        <v>234</v>
      </c>
      <c r="D8" s="15" t="s">
        <v>247</v>
      </c>
      <c r="E8" s="15" t="s">
        <v>248</v>
      </c>
      <c r="F8" s="15" t="s">
        <v>249</v>
      </c>
      <c r="G8" s="15" t="s">
        <v>238</v>
      </c>
      <c r="H8" s="18" t="s">
        <v>225</v>
      </c>
      <c r="I8" s="18" t="s">
        <v>250</v>
      </c>
      <c r="J8" s="18" t="s">
        <v>212</v>
      </c>
      <c r="K8" s="18" t="s">
        <v>213</v>
      </c>
      <c r="L8" s="15" t="s">
        <v>214</v>
      </c>
    </row>
    <row r="9" customFormat="false" ht="23.25" hidden="false" customHeight="true" outlineLevel="0" collapsed="false">
      <c r="A9" s="18" t="s">
        <v>251</v>
      </c>
      <c r="B9" s="18" t="s">
        <v>252</v>
      </c>
      <c r="C9" s="18" t="s">
        <v>234</v>
      </c>
      <c r="D9" s="15" t="s">
        <v>253</v>
      </c>
      <c r="E9" s="15" t="s">
        <v>254</v>
      </c>
      <c r="F9" s="15" t="s">
        <v>255</v>
      </c>
      <c r="G9" s="15" t="s">
        <v>256</v>
      </c>
      <c r="H9" s="18" t="s">
        <v>163</v>
      </c>
      <c r="I9" s="18" t="s">
        <v>211</v>
      </c>
      <c r="J9" s="18" t="s">
        <v>212</v>
      </c>
      <c r="K9" s="18" t="s">
        <v>213</v>
      </c>
      <c r="L9" s="15" t="s">
        <v>214</v>
      </c>
    </row>
    <row r="10" customFormat="false" ht="23.25" hidden="false" customHeight="true" outlineLevel="0" collapsed="false">
      <c r="A10" s="18" t="s">
        <v>257</v>
      </c>
      <c r="B10" s="18" t="s">
        <v>258</v>
      </c>
      <c r="C10" s="18" t="s">
        <v>234</v>
      </c>
      <c r="D10" s="15" t="s">
        <v>259</v>
      </c>
      <c r="E10" s="15" t="s">
        <v>260</v>
      </c>
      <c r="F10" s="15" t="s">
        <v>261</v>
      </c>
      <c r="G10" s="15" t="s">
        <v>262</v>
      </c>
      <c r="H10" s="18" t="s">
        <v>225</v>
      </c>
      <c r="I10" s="18" t="s">
        <v>250</v>
      </c>
      <c r="J10" s="18" t="s">
        <v>212</v>
      </c>
      <c r="K10" s="18" t="s">
        <v>213</v>
      </c>
      <c r="L10" s="15" t="s">
        <v>214</v>
      </c>
    </row>
    <row r="11" customFormat="false" ht="23.25" hidden="false" customHeight="true" outlineLevel="0" collapsed="false">
      <c r="A11" s="18" t="s">
        <v>263</v>
      </c>
      <c r="B11" s="18" t="s">
        <v>264</v>
      </c>
      <c r="C11" s="18" t="s">
        <v>234</v>
      </c>
      <c r="D11" s="15" t="s">
        <v>265</v>
      </c>
      <c r="E11" s="15" t="s">
        <v>266</v>
      </c>
      <c r="F11" s="15" t="s">
        <v>267</v>
      </c>
      <c r="G11" s="15" t="s">
        <v>238</v>
      </c>
      <c r="H11" s="18" t="s">
        <v>225</v>
      </c>
      <c r="I11" s="18" t="s">
        <v>250</v>
      </c>
      <c r="J11" s="18" t="s">
        <v>212</v>
      </c>
      <c r="K11" s="18" t="s">
        <v>213</v>
      </c>
      <c r="L11" s="15" t="s">
        <v>214</v>
      </c>
    </row>
    <row r="12" customFormat="false" ht="23.25" hidden="false" customHeight="true" outlineLevel="0" collapsed="false">
      <c r="A12" s="18" t="s">
        <v>268</v>
      </c>
      <c r="B12" s="18" t="s">
        <v>269</v>
      </c>
      <c r="C12" s="18" t="s">
        <v>270</v>
      </c>
      <c r="D12" s="15" t="s">
        <v>271</v>
      </c>
      <c r="E12" s="15" t="s">
        <v>272</v>
      </c>
      <c r="F12" s="15" t="s">
        <v>273</v>
      </c>
      <c r="G12" s="15" t="s">
        <v>274</v>
      </c>
      <c r="H12" s="18" t="s">
        <v>163</v>
      </c>
      <c r="I12" s="18" t="s">
        <v>211</v>
      </c>
      <c r="J12" s="18" t="s">
        <v>212</v>
      </c>
      <c r="K12" s="18" t="s">
        <v>213</v>
      </c>
      <c r="L12" s="15" t="s">
        <v>214</v>
      </c>
    </row>
    <row r="13" customFormat="false" ht="23.25" hidden="false" customHeight="true" outlineLevel="0" collapsed="false">
      <c r="A13" s="18" t="s">
        <v>275</v>
      </c>
      <c r="B13" s="18" t="s">
        <v>276</v>
      </c>
      <c r="C13" s="18" t="s">
        <v>270</v>
      </c>
      <c r="D13" s="15" t="s">
        <v>277</v>
      </c>
      <c r="E13" s="15" t="s">
        <v>278</v>
      </c>
      <c r="F13" s="15" t="s">
        <v>279</v>
      </c>
      <c r="G13" s="15" t="s">
        <v>280</v>
      </c>
      <c r="H13" s="18" t="s">
        <v>225</v>
      </c>
      <c r="I13" s="18" t="s">
        <v>211</v>
      </c>
      <c r="J13" s="18" t="s">
        <v>212</v>
      </c>
      <c r="K13" s="18" t="s">
        <v>213</v>
      </c>
      <c r="L13" s="15" t="s">
        <v>214</v>
      </c>
    </row>
    <row r="14" customFormat="false" ht="23.25" hidden="false" customHeight="true" outlineLevel="0" collapsed="false">
      <c r="A14" s="18" t="s">
        <v>281</v>
      </c>
      <c r="B14" s="18" t="s">
        <v>282</v>
      </c>
      <c r="C14" s="18" t="s">
        <v>270</v>
      </c>
      <c r="D14" s="15" t="s">
        <v>283</v>
      </c>
      <c r="E14" s="15" t="s">
        <v>284</v>
      </c>
      <c r="F14" s="15" t="s">
        <v>285</v>
      </c>
      <c r="G14" s="15" t="s">
        <v>286</v>
      </c>
      <c r="H14" s="18" t="s">
        <v>225</v>
      </c>
      <c r="I14" s="18" t="s">
        <v>211</v>
      </c>
      <c r="J14" s="18" t="s">
        <v>212</v>
      </c>
      <c r="K14" s="18" t="s">
        <v>213</v>
      </c>
      <c r="L14" s="15" t="s">
        <v>214</v>
      </c>
    </row>
    <row r="15" customFormat="false" ht="23.25" hidden="false" customHeight="true" outlineLevel="0" collapsed="false">
      <c r="A15" s="18" t="s">
        <v>287</v>
      </c>
      <c r="B15" s="18" t="s">
        <v>288</v>
      </c>
      <c r="C15" s="18" t="s">
        <v>289</v>
      </c>
      <c r="D15" s="15" t="s">
        <v>290</v>
      </c>
      <c r="E15" s="15" t="s">
        <v>291</v>
      </c>
      <c r="F15" s="15" t="s">
        <v>292</v>
      </c>
      <c r="G15" s="15" t="s">
        <v>238</v>
      </c>
      <c r="H15" s="18" t="s">
        <v>163</v>
      </c>
      <c r="I15" s="18" t="s">
        <v>211</v>
      </c>
      <c r="J15" s="18" t="s">
        <v>212</v>
      </c>
      <c r="K15" s="18" t="s">
        <v>213</v>
      </c>
      <c r="L15" s="15" t="s">
        <v>214</v>
      </c>
    </row>
    <row r="16" customFormat="false" ht="23.25" hidden="false" customHeight="true" outlineLevel="0" collapsed="false">
      <c r="A16" s="18" t="s">
        <v>293</v>
      </c>
      <c r="B16" s="18" t="s">
        <v>294</v>
      </c>
      <c r="C16" s="18" t="s">
        <v>289</v>
      </c>
      <c r="D16" s="15" t="s">
        <v>295</v>
      </c>
      <c r="E16" s="15" t="s">
        <v>296</v>
      </c>
      <c r="F16" s="15" t="s">
        <v>297</v>
      </c>
      <c r="G16" s="15" t="s">
        <v>298</v>
      </c>
      <c r="H16" s="18" t="s">
        <v>163</v>
      </c>
      <c r="I16" s="18" t="s">
        <v>211</v>
      </c>
      <c r="J16" s="18" t="s">
        <v>212</v>
      </c>
      <c r="K16" s="18" t="s">
        <v>213</v>
      </c>
      <c r="L16" s="15" t="s">
        <v>214</v>
      </c>
    </row>
    <row r="17" customFormat="false" ht="23.25" hidden="false" customHeight="true" outlineLevel="0" collapsed="false">
      <c r="A17" s="18" t="s">
        <v>299</v>
      </c>
      <c r="B17" s="18" t="s">
        <v>300</v>
      </c>
      <c r="C17" s="18" t="s">
        <v>289</v>
      </c>
      <c r="D17" s="15" t="s">
        <v>301</v>
      </c>
      <c r="E17" s="15" t="s">
        <v>302</v>
      </c>
      <c r="F17" s="15" t="s">
        <v>303</v>
      </c>
      <c r="G17" s="15" t="s">
        <v>304</v>
      </c>
      <c r="H17" s="18" t="s">
        <v>225</v>
      </c>
      <c r="I17" s="18" t="s">
        <v>211</v>
      </c>
      <c r="J17" s="18" t="s">
        <v>212</v>
      </c>
      <c r="K17" s="18" t="s">
        <v>213</v>
      </c>
      <c r="L17" s="15" t="s">
        <v>214</v>
      </c>
    </row>
    <row r="18" customFormat="false" ht="23.25" hidden="false" customHeight="true" outlineLevel="0" collapsed="false">
      <c r="A18" s="18" t="s">
        <v>305</v>
      </c>
      <c r="B18" s="18" t="s">
        <v>306</v>
      </c>
      <c r="C18" s="18" t="s">
        <v>307</v>
      </c>
      <c r="D18" s="15" t="s">
        <v>308</v>
      </c>
      <c r="E18" s="15" t="s">
        <v>309</v>
      </c>
      <c r="F18" s="15" t="s">
        <v>310</v>
      </c>
      <c r="G18" s="15" t="s">
        <v>238</v>
      </c>
      <c r="H18" s="18" t="s">
        <v>163</v>
      </c>
      <c r="I18" s="18" t="s">
        <v>311</v>
      </c>
      <c r="J18" s="18" t="s">
        <v>212</v>
      </c>
      <c r="K18" s="18" t="s">
        <v>213</v>
      </c>
      <c r="L18" s="15" t="s">
        <v>214</v>
      </c>
    </row>
    <row r="19" customFormat="false" ht="23.25" hidden="false" customHeight="true" outlineLevel="0" collapsed="false">
      <c r="A19" s="18" t="s">
        <v>312</v>
      </c>
      <c r="B19" s="18" t="s">
        <v>313</v>
      </c>
      <c r="C19" s="18" t="s">
        <v>314</v>
      </c>
      <c r="D19" s="15" t="s">
        <v>315</v>
      </c>
      <c r="E19" s="15" t="s">
        <v>316</v>
      </c>
      <c r="F19" s="15" t="s">
        <v>317</v>
      </c>
      <c r="G19" s="15" t="s">
        <v>318</v>
      </c>
      <c r="H19" s="18" t="s">
        <v>163</v>
      </c>
      <c r="I19" s="18" t="s">
        <v>319</v>
      </c>
      <c r="J19" s="18" t="s">
        <v>212</v>
      </c>
      <c r="K19" s="18" t="s">
        <v>213</v>
      </c>
      <c r="L19" s="15" t="s">
        <v>214</v>
      </c>
    </row>
    <row r="20" customFormat="false" ht="23.25" hidden="false" customHeight="true" outlineLevel="0" collapsed="false">
      <c r="A20" s="18" t="s">
        <v>320</v>
      </c>
      <c r="B20" s="18" t="s">
        <v>321</v>
      </c>
      <c r="C20" s="18" t="s">
        <v>314</v>
      </c>
      <c r="D20" s="15" t="s">
        <v>322</v>
      </c>
      <c r="E20" s="15" t="s">
        <v>323</v>
      </c>
      <c r="F20" s="15" t="s">
        <v>324</v>
      </c>
      <c r="G20" s="15" t="s">
        <v>325</v>
      </c>
      <c r="H20" s="18" t="s">
        <v>225</v>
      </c>
      <c r="I20" s="18" t="s">
        <v>326</v>
      </c>
      <c r="J20" s="18" t="s">
        <v>212</v>
      </c>
      <c r="K20" s="18" t="s">
        <v>213</v>
      </c>
      <c r="L20" s="15" t="s">
        <v>214</v>
      </c>
    </row>
    <row r="21" customFormat="false" ht="23.25" hidden="false" customHeight="true" outlineLevel="0" collapsed="false">
      <c r="A21" s="18" t="s">
        <v>327</v>
      </c>
      <c r="B21" s="18" t="s">
        <v>328</v>
      </c>
      <c r="C21" s="18" t="s">
        <v>329</v>
      </c>
      <c r="D21" s="15" t="s">
        <v>315</v>
      </c>
      <c r="E21" s="15" t="s">
        <v>330</v>
      </c>
      <c r="F21" s="15" t="s">
        <v>331</v>
      </c>
      <c r="G21" s="15" t="s">
        <v>238</v>
      </c>
      <c r="H21" s="18" t="s">
        <v>163</v>
      </c>
      <c r="I21" s="18" t="s">
        <v>332</v>
      </c>
      <c r="J21" s="18" t="s">
        <v>212</v>
      </c>
      <c r="K21" s="18" t="s">
        <v>213</v>
      </c>
      <c r="L21" s="15" t="s">
        <v>214</v>
      </c>
    </row>
    <row r="22" customFormat="false" ht="23.25" hidden="false" customHeight="true" outlineLevel="0" collapsed="false">
      <c r="A22" s="18" t="s">
        <v>333</v>
      </c>
      <c r="B22" s="18" t="s">
        <v>334</v>
      </c>
      <c r="C22" s="18" t="s">
        <v>329</v>
      </c>
      <c r="D22" s="15" t="s">
        <v>335</v>
      </c>
      <c r="E22" s="15" t="s">
        <v>336</v>
      </c>
      <c r="F22" s="15" t="s">
        <v>337</v>
      </c>
      <c r="G22" s="15" t="s">
        <v>238</v>
      </c>
      <c r="H22" s="18" t="s">
        <v>225</v>
      </c>
      <c r="I22" s="18" t="s">
        <v>326</v>
      </c>
      <c r="J22" s="18" t="s">
        <v>212</v>
      </c>
      <c r="K22" s="18" t="s">
        <v>213</v>
      </c>
      <c r="L22" s="15" t="s">
        <v>214</v>
      </c>
    </row>
    <row r="23" customFormat="false" ht="23.25" hidden="false" customHeight="true" outlineLevel="0" collapsed="false">
      <c r="A23" s="18" t="s">
        <v>338</v>
      </c>
      <c r="B23" s="18" t="s">
        <v>339</v>
      </c>
      <c r="C23" s="18" t="s">
        <v>329</v>
      </c>
      <c r="D23" s="15" t="s">
        <v>340</v>
      </c>
      <c r="E23" s="15" t="s">
        <v>341</v>
      </c>
      <c r="F23" s="15" t="s">
        <v>342</v>
      </c>
      <c r="G23" s="15" t="s">
        <v>343</v>
      </c>
      <c r="H23" s="18" t="s">
        <v>225</v>
      </c>
      <c r="I23" s="18" t="s">
        <v>344</v>
      </c>
      <c r="J23" s="18" t="s">
        <v>212</v>
      </c>
      <c r="K23" s="18" t="s">
        <v>213</v>
      </c>
      <c r="L23" s="15" t="s">
        <v>214</v>
      </c>
    </row>
    <row r="24" customFormat="false" ht="23.25" hidden="false" customHeight="true" outlineLevel="0" collapsed="false">
      <c r="A24" s="18" t="s">
        <v>345</v>
      </c>
      <c r="B24" s="18" t="s">
        <v>346</v>
      </c>
      <c r="C24" s="18" t="s">
        <v>329</v>
      </c>
      <c r="D24" s="15" t="s">
        <v>315</v>
      </c>
      <c r="E24" s="15" t="s">
        <v>347</v>
      </c>
      <c r="F24" s="15" t="s">
        <v>348</v>
      </c>
      <c r="G24" s="15" t="s">
        <v>349</v>
      </c>
      <c r="H24" s="18" t="s">
        <v>225</v>
      </c>
      <c r="I24" s="18" t="s">
        <v>350</v>
      </c>
      <c r="J24" s="18" t="s">
        <v>212</v>
      </c>
      <c r="K24" s="18" t="s">
        <v>213</v>
      </c>
      <c r="L24" s="15" t="s">
        <v>214</v>
      </c>
    </row>
    <row r="25" customFormat="false" ht="23.25" hidden="false" customHeight="true" outlineLevel="0" collapsed="false">
      <c r="A25" s="18" t="s">
        <v>351</v>
      </c>
      <c r="B25" s="18" t="s">
        <v>352</v>
      </c>
      <c r="C25" s="18" t="s">
        <v>329</v>
      </c>
      <c r="D25" s="15" t="s">
        <v>315</v>
      </c>
      <c r="E25" s="15" t="s">
        <v>353</v>
      </c>
      <c r="F25" s="15" t="s">
        <v>354</v>
      </c>
      <c r="G25" s="15" t="s">
        <v>355</v>
      </c>
      <c r="H25" s="18" t="s">
        <v>225</v>
      </c>
      <c r="I25" s="18" t="s">
        <v>211</v>
      </c>
      <c r="J25" s="18" t="s">
        <v>212</v>
      </c>
      <c r="K25" s="18" t="s">
        <v>213</v>
      </c>
      <c r="L25" s="15" t="s">
        <v>214</v>
      </c>
    </row>
    <row r="26" customFormat="false" ht="23.25" hidden="false" customHeight="true" outlineLevel="0" collapsed="false">
      <c r="A26" s="18" t="s">
        <v>356</v>
      </c>
      <c r="B26" s="18" t="s">
        <v>357</v>
      </c>
      <c r="C26" s="18" t="s">
        <v>358</v>
      </c>
      <c r="D26" s="15" t="s">
        <v>359</v>
      </c>
      <c r="E26" s="15" t="s">
        <v>360</v>
      </c>
      <c r="F26" s="15" t="s">
        <v>361</v>
      </c>
      <c r="G26" s="15" t="s">
        <v>362</v>
      </c>
      <c r="H26" s="18" t="s">
        <v>163</v>
      </c>
      <c r="I26" s="18" t="s">
        <v>211</v>
      </c>
      <c r="J26" s="18" t="s">
        <v>212</v>
      </c>
      <c r="K26" s="18" t="s">
        <v>213</v>
      </c>
      <c r="L26" s="15" t="s">
        <v>214</v>
      </c>
    </row>
    <row r="27" customFormat="false" ht="23.25" hidden="false" customHeight="true" outlineLevel="0" collapsed="false">
      <c r="A27" s="18" t="s">
        <v>363</v>
      </c>
      <c r="B27" s="18" t="s">
        <v>364</v>
      </c>
      <c r="C27" s="18" t="s">
        <v>358</v>
      </c>
      <c r="D27" s="15" t="s">
        <v>365</v>
      </c>
      <c r="E27" s="15" t="s">
        <v>366</v>
      </c>
      <c r="F27" s="15" t="s">
        <v>361</v>
      </c>
      <c r="G27" s="15" t="s">
        <v>367</v>
      </c>
      <c r="H27" s="18" t="s">
        <v>163</v>
      </c>
      <c r="I27" s="18" t="s">
        <v>211</v>
      </c>
      <c r="J27" s="18" t="s">
        <v>212</v>
      </c>
      <c r="K27" s="18" t="s">
        <v>213</v>
      </c>
      <c r="L27" s="15" t="s">
        <v>214</v>
      </c>
    </row>
    <row r="28" customFormat="false" ht="23.25" hidden="false" customHeight="true" outlineLevel="0" collapsed="false">
      <c r="A28" s="18" t="s">
        <v>368</v>
      </c>
      <c r="B28" s="18" t="s">
        <v>369</v>
      </c>
      <c r="C28" s="18" t="s">
        <v>358</v>
      </c>
      <c r="D28" s="15" t="s">
        <v>370</v>
      </c>
      <c r="E28" s="15" t="s">
        <v>371</v>
      </c>
      <c r="F28" s="15" t="s">
        <v>372</v>
      </c>
      <c r="G28" s="15" t="s">
        <v>373</v>
      </c>
      <c r="H28" s="18" t="s">
        <v>225</v>
      </c>
      <c r="I28" s="18" t="s">
        <v>250</v>
      </c>
      <c r="J28" s="18" t="s">
        <v>212</v>
      </c>
      <c r="K28" s="18" t="s">
        <v>213</v>
      </c>
      <c r="L28" s="15" t="s">
        <v>214</v>
      </c>
    </row>
    <row r="29" customFormat="false" ht="23.25" hidden="false" customHeight="true" outlineLevel="0" collapsed="false">
      <c r="A29" s="18" t="s">
        <v>374</v>
      </c>
      <c r="B29" s="18" t="s">
        <v>375</v>
      </c>
      <c r="C29" s="18" t="s">
        <v>358</v>
      </c>
      <c r="D29" s="15" t="s">
        <v>315</v>
      </c>
      <c r="E29" s="15" t="s">
        <v>376</v>
      </c>
      <c r="F29" s="15" t="s">
        <v>377</v>
      </c>
      <c r="G29" s="15" t="s">
        <v>238</v>
      </c>
      <c r="H29" s="18" t="s">
        <v>225</v>
      </c>
      <c r="I29" s="18" t="s">
        <v>350</v>
      </c>
      <c r="J29" s="18" t="s">
        <v>212</v>
      </c>
      <c r="K29" s="18" t="s">
        <v>213</v>
      </c>
      <c r="L29" s="15" t="s">
        <v>214</v>
      </c>
    </row>
  </sheetData>
  <autoFilter ref="A1:L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20"/>
    <col collapsed="false" customWidth="true" hidden="false" outlineLevel="0" max="4" min="4" style="1" width="15"/>
    <col collapsed="false" customWidth="true" hidden="false" outlineLevel="0" max="5" min="5" style="1" width="10"/>
    <col collapsed="false" customWidth="true" hidden="false" outlineLevel="0" max="6" min="6" style="1" width="34"/>
    <col collapsed="false" customWidth="true" hidden="false" outlineLevel="0" max="7" min="7" style="1" width="20"/>
    <col collapsed="false" customWidth="true" hidden="false" outlineLevel="0" max="8" min="8" style="1" width="10"/>
    <col collapsed="false" customWidth="true" hidden="false" outlineLevel="0" max="9" min="9" style="1" width="22"/>
    <col collapsed="false" customWidth="true" hidden="false" outlineLevel="0" max="10" min="10" style="1" width="14"/>
    <col collapsed="false" customWidth="true" hidden="false" outlineLevel="0" max="11" min="11" style="1" width="26"/>
    <col collapsed="false" customWidth="true" hidden="false" outlineLevel="0" max="12" min="12" style="1" width="17"/>
    <col collapsed="false" customWidth="true" hidden="false" outlineLevel="0" max="13" min="13" style="1" width="12"/>
    <col collapsed="false" customWidth="true" hidden="false" outlineLevel="0" max="14" min="14" style="1" width="11"/>
    <col collapsed="false" customWidth="true" hidden="false" outlineLevel="0" max="15" min="15" style="1" width="26"/>
    <col collapsed="false" customWidth="true" hidden="false" outlineLevel="0" max="16" min="16" style="1" width="12"/>
    <col collapsed="false" customWidth="true" hidden="false" outlineLevel="0" max="17" min="17" style="1" width="25"/>
    <col collapsed="false" customWidth="true" hidden="false" outlineLevel="0" max="18" min="18" style="1" width="40"/>
    <col collapsed="false" customWidth="true" hidden="false" outlineLevel="0" max="20" min="19" style="1" width="12"/>
    <col collapsed="false" customWidth="true" hidden="false" outlineLevel="0" max="21" min="21" style="1" width="14"/>
    <col collapsed="false" customWidth="true" hidden="false" outlineLevel="0" max="22" min="22" style="1" width="42"/>
  </cols>
  <sheetData>
    <row r="1" customFormat="false" ht="31.5" hidden="false" customHeight="true" outlineLevel="0" collapsed="false">
      <c r="A1" s="14" t="s">
        <v>378</v>
      </c>
      <c r="B1" s="14" t="s">
        <v>91</v>
      </c>
      <c r="C1" s="14" t="s">
        <v>92</v>
      </c>
      <c r="D1" s="14" t="s">
        <v>93</v>
      </c>
      <c r="E1" s="14" t="s">
        <v>193</v>
      </c>
      <c r="F1" s="14" t="s">
        <v>194</v>
      </c>
      <c r="G1" s="14" t="s">
        <v>195</v>
      </c>
      <c r="H1" s="14" t="s">
        <v>379</v>
      </c>
      <c r="I1" s="14" t="s">
        <v>380</v>
      </c>
      <c r="J1" s="14" t="s">
        <v>381</v>
      </c>
      <c r="K1" s="14" t="s">
        <v>382</v>
      </c>
      <c r="L1" s="14" t="s">
        <v>383</v>
      </c>
      <c r="M1" s="14" t="s">
        <v>384</v>
      </c>
      <c r="N1" s="14" t="s">
        <v>385</v>
      </c>
      <c r="O1" s="14" t="s">
        <v>386</v>
      </c>
      <c r="P1" s="14" t="s">
        <v>387</v>
      </c>
      <c r="Q1" s="14" t="s">
        <v>202</v>
      </c>
      <c r="R1" s="14" t="s">
        <v>388</v>
      </c>
      <c r="S1" s="14" t="s">
        <v>389</v>
      </c>
      <c r="T1" s="14" t="s">
        <v>60</v>
      </c>
      <c r="U1" s="14" t="s">
        <v>201</v>
      </c>
      <c r="V1" s="14" t="s">
        <v>390</v>
      </c>
    </row>
    <row r="2" customFormat="false" ht="15" hidden="false" customHeight="true" outlineLevel="0" collapsed="false">
      <c r="A2" s="18" t="s">
        <v>391</v>
      </c>
      <c r="B2" s="18" t="s">
        <v>117</v>
      </c>
      <c r="C2" s="21" t="str">
        <f aca="false">INDEX(Locations!$B$2:$B$9,MATCH($B2,Locations!$A$2:$A$9,0))</f>
        <v>The Atrium</v>
      </c>
      <c r="D2" s="21" t="str">
        <f aca="false">INDEX(Locations!$C$2:$C$9,MATCH($B2,Locations!$A$2:$A$9,0))</f>
        <v>College Avenue</v>
      </c>
      <c r="E2" s="18" t="s">
        <v>204</v>
      </c>
      <c r="F2" s="21" t="str">
        <f aca="false">INDEX(Products!$B$2:$B$29,MATCH($E2,Products!$A$2:$A$29,0))</f>
        <v>Tylenol Extra Strength</v>
      </c>
      <c r="G2" s="21" t="str">
        <f aca="false">INDEX(Products!$C$2:$C$29,MATCH($E2,Products!$A$2:$A$29,0))</f>
        <v>Pain &amp; fever</v>
      </c>
      <c r="H2" s="18" t="s">
        <v>123</v>
      </c>
      <c r="I2" s="18" t="s">
        <v>392</v>
      </c>
      <c r="J2" s="18" t="str">
        <f aca="false">IF(H2="No","-",IF(I2="Available","Good supply",IF(I2="Low stock","Few left",IF(I2="Out of stock","None",IF(I2="Temporarily unavailable","Unavailable","Unknown")))))</f>
        <v>Good supply</v>
      </c>
      <c r="K2" s="18" t="s">
        <v>393</v>
      </c>
      <c r="L2" s="22" t="n">
        <v>46308.59375</v>
      </c>
      <c r="M2" s="18" t="n">
        <f aca="false">IF(L2="","",ROUND((Config!$B$2-L2)*1440,0))</f>
        <v>45</v>
      </c>
      <c r="N2" s="18" t="n">
        <f aca="false">IF(K2="Staff verified",Config!$B$4,IF(OR(K2="Authorized student verified",K2="Multiple student reports",K2="Single student report"),Config!$B$3,""))</f>
        <v>240</v>
      </c>
      <c r="O2" s="18" t="str">
        <f aca="false">IF(H2="No","n/a",IF(L2="","Unverified Data",IF(M2&gt;N2,"Stale report",K2)))</f>
        <v>Staff verified</v>
      </c>
      <c r="P2" s="18" t="str">
        <f aca="false">IF(AND(H2="Yes",OR(I2="Available",I2="Low stock")),IF(O2="Stale report","Verify first","Yes"),"No")</f>
        <v>Yes</v>
      </c>
      <c r="Q2" s="18" t="str">
        <f aca="false">IF(H2="Yes","proposed_pending_approval","n/a")</f>
        <v>proposed_pending_approval</v>
      </c>
      <c r="R2" s="18" t="str">
        <f aca="false">IF(H2="Yes","Retail swipe (proposed) / RU Express / Cash or card","n/a")</f>
        <v>Retail swipe (proposed) / RU Express / Cash or card</v>
      </c>
      <c r="S2" s="21" t="str">
        <f aca="false">INDEX(Products!$I$2:$I$29,MATCH($E2,Products!$A$2:$A$29,0))</f>
        <v>1 package</v>
      </c>
      <c r="T2" s="18" t="n">
        <f aca="false">IF(H2="Yes",Config!$B$5,"")</f>
        <v>75</v>
      </c>
      <c r="U2" s="21" t="str">
        <f aca="false">INDEX(Products!$J$2:$J$29,MATCH($E2,Products!$A$2:$A$29,0))</f>
        <v>No</v>
      </c>
      <c r="V2" s="18" t="s">
        <v>394</v>
      </c>
    </row>
    <row r="3" customFormat="false" ht="15" hidden="false" customHeight="true" outlineLevel="0" collapsed="false">
      <c r="A3" s="18" t="s">
        <v>395</v>
      </c>
      <c r="B3" s="18" t="s">
        <v>117</v>
      </c>
      <c r="C3" s="21" t="str">
        <f aca="false">INDEX(Locations!$B$2:$B$9,MATCH($B3,Locations!$A$2:$A$9,0))</f>
        <v>The Atrium</v>
      </c>
      <c r="D3" s="21" t="str">
        <f aca="false">INDEX(Locations!$C$2:$C$9,MATCH($B3,Locations!$A$2:$A$9,0))</f>
        <v>College Avenue</v>
      </c>
      <c r="E3" s="18" t="s">
        <v>215</v>
      </c>
      <c r="F3" s="21" t="str">
        <f aca="false">INDEX(Products!$B$2:$B$29,MATCH($E3,Products!$A$2:$A$29,0))</f>
        <v>Advil</v>
      </c>
      <c r="G3" s="21" t="str">
        <f aca="false">INDEX(Products!$C$2:$C$29,MATCH($E3,Products!$A$2:$A$29,0))</f>
        <v>Pain &amp; fever</v>
      </c>
      <c r="H3" s="18" t="s">
        <v>123</v>
      </c>
      <c r="I3" s="18" t="s">
        <v>396</v>
      </c>
      <c r="J3" s="18" t="str">
        <f aca="false">IF(H3="No","-",IF(I3="Available","Good supply",IF(I3="Low stock","Few left",IF(I3="Out of stock","None",IF(I3="Temporarily unavailable","Unavailable","Unknown")))))</f>
        <v>None</v>
      </c>
      <c r="K3" s="18" t="s">
        <v>397</v>
      </c>
      <c r="L3" s="22" t="n">
        <v>46308.6166666667</v>
      </c>
      <c r="M3" s="18" t="n">
        <f aca="false">IF(L3="","",ROUND((Config!$B$2-L3)*1440,0))</f>
        <v>12</v>
      </c>
      <c r="N3" s="18" t="str">
        <f aca="false">IF(K3="Staff verified",Config!$B$4,IF(OR(K3="Authorized student verified",K3="Multiple student reports",K3="Single student report"),Config!$B$3,""))</f>
        <v/>
      </c>
      <c r="O3" s="18" t="str">
        <f aca="false">IF(H3="No","n/a",IF(L3="","Unverified Data",IF(M3&gt;N3,"Stale report",K3)))</f>
        <v>Verified student report</v>
      </c>
      <c r="P3" s="18" t="str">
        <f aca="false">IF(AND(H3="Yes",OR(I3="Available",I3="Low stock")),IF(O3="Stale report","Verify first","Yes"),"No")</f>
        <v>No</v>
      </c>
      <c r="Q3" s="18" t="str">
        <f aca="false">IF(H3="Yes","proposed_pending_approval","n/a")</f>
        <v>proposed_pending_approval</v>
      </c>
      <c r="R3" s="18" t="str">
        <f aca="false">IF(H3="Yes","Retail swipe (proposed) / RU Express / Cash or card","n/a")</f>
        <v>Retail swipe (proposed) / RU Express / Cash or card</v>
      </c>
      <c r="S3" s="21" t="str">
        <f aca="false">INDEX(Products!$I$2:$I$29,MATCH($E3,Products!$A$2:$A$29,0))</f>
        <v>1 package</v>
      </c>
      <c r="T3" s="18" t="n">
        <f aca="false">IF(H3="Yes",Config!$B$5,"")</f>
        <v>75</v>
      </c>
      <c r="U3" s="21" t="str">
        <f aca="false">INDEX(Products!$J$2:$J$29,MATCH($E3,Products!$A$2:$A$29,0))</f>
        <v>No</v>
      </c>
      <c r="V3" s="18" t="s">
        <v>394</v>
      </c>
    </row>
    <row r="4" customFormat="false" ht="15" hidden="false" customHeight="true" outlineLevel="0" collapsed="false">
      <c r="A4" s="18" t="s">
        <v>398</v>
      </c>
      <c r="B4" s="18" t="s">
        <v>117</v>
      </c>
      <c r="C4" s="21" t="str">
        <f aca="false">INDEX(Locations!$B$2:$B$9,MATCH($B4,Locations!$A$2:$A$9,0))</f>
        <v>The Atrium</v>
      </c>
      <c r="D4" s="21" t="str">
        <f aca="false">INDEX(Locations!$C$2:$C$9,MATCH($B4,Locations!$A$2:$A$9,0))</f>
        <v>College Avenue</v>
      </c>
      <c r="E4" s="18" t="s">
        <v>220</v>
      </c>
      <c r="F4" s="21" t="str">
        <f aca="false">INDEX(Products!$B$2:$B$29,MATCH($E4,Products!$A$2:$A$29,0))</f>
        <v>Aleve</v>
      </c>
      <c r="G4" s="21" t="str">
        <f aca="false">INDEX(Products!$C$2:$C$29,MATCH($E4,Products!$A$2:$A$29,0))</f>
        <v>Pain &amp; fever</v>
      </c>
      <c r="H4" s="18" t="s">
        <v>123</v>
      </c>
      <c r="I4" s="18" t="s">
        <v>392</v>
      </c>
      <c r="J4" s="18" t="str">
        <f aca="false">IF(H4="No","-",IF(I4="Available","Good supply",IF(I4="Low stock","Few left",IF(I4="Out of stock","None",IF(I4="Temporarily unavailable","Unavailable","Unknown")))))</f>
        <v>Good supply</v>
      </c>
      <c r="K4" s="18" t="s">
        <v>397</v>
      </c>
      <c r="L4" s="22" t="n">
        <v>46308.6104166667</v>
      </c>
      <c r="M4" s="18" t="n">
        <f aca="false">IF(L4="","",ROUND((Config!$B$2-L4)*1440,0))</f>
        <v>21</v>
      </c>
      <c r="N4" s="18" t="str">
        <f aca="false">IF(K4="Staff verified",Config!$B$4,IF(OR(K4="Authorized student verified",K4="Multiple student reports",K4="Single student report"),Config!$B$3,""))</f>
        <v/>
      </c>
      <c r="O4" s="18" t="str">
        <f aca="false">IF(H4="No","n/a",IF(L4="","Unverified Data",IF(M4&gt;N4,"Stale report",K4)))</f>
        <v>Verified student report</v>
      </c>
      <c r="P4" s="18" t="str">
        <f aca="false">IF(AND(H4="Yes",OR(I4="Available",I4="Low stock")),IF(O4="Stale report","Verify first","Yes"),"No")</f>
        <v>Yes</v>
      </c>
      <c r="Q4" s="18" t="str">
        <f aca="false">IF(H4="Yes","proposed_pending_approval","n/a")</f>
        <v>proposed_pending_approval</v>
      </c>
      <c r="R4" s="18" t="str">
        <f aca="false">IF(H4="Yes","Retail swipe (proposed) / RU Express / Cash or card","n/a")</f>
        <v>Retail swipe (proposed) / RU Express / Cash or card</v>
      </c>
      <c r="S4" s="21" t="str">
        <f aca="false">INDEX(Products!$I$2:$I$29,MATCH($E4,Products!$A$2:$A$29,0))</f>
        <v>1 package</v>
      </c>
      <c r="T4" s="18" t="n">
        <f aca="false">IF(H4="Yes",Config!$B$5,"")</f>
        <v>75</v>
      </c>
      <c r="U4" s="21" t="str">
        <f aca="false">INDEX(Products!$J$2:$J$29,MATCH($E4,Products!$A$2:$A$29,0))</f>
        <v>No</v>
      </c>
      <c r="V4" s="18" t="s">
        <v>394</v>
      </c>
    </row>
    <row r="5" customFormat="false" ht="15" hidden="false" customHeight="true" outlineLevel="0" collapsed="false">
      <c r="A5" s="18" t="s">
        <v>399</v>
      </c>
      <c r="B5" s="18" t="s">
        <v>117</v>
      </c>
      <c r="C5" s="21" t="str">
        <f aca="false">INDEX(Locations!$B$2:$B$9,MATCH($B5,Locations!$A$2:$A$9,0))</f>
        <v>The Atrium</v>
      </c>
      <c r="D5" s="21" t="str">
        <f aca="false">INDEX(Locations!$C$2:$C$9,MATCH($B5,Locations!$A$2:$A$9,0))</f>
        <v>College Avenue</v>
      </c>
      <c r="E5" s="18" t="s">
        <v>226</v>
      </c>
      <c r="F5" s="21" t="str">
        <f aca="false">INDEX(Products!$B$2:$B$29,MATCH($E5,Products!$A$2:$A$29,0))</f>
        <v>Excedrin Migraine</v>
      </c>
      <c r="G5" s="21" t="str">
        <f aca="false">INDEX(Products!$C$2:$C$29,MATCH($E5,Products!$A$2:$A$29,0))</f>
        <v>Pain &amp; fever</v>
      </c>
      <c r="H5" s="18" t="s">
        <v>123</v>
      </c>
      <c r="I5" s="18" t="s">
        <v>392</v>
      </c>
      <c r="J5" s="18" t="str">
        <f aca="false">IF(H5="No","-",IF(I5="Available","Good supply",IF(I5="Low stock","Few left",IF(I5="Out of stock","None",IF(I5="Temporarily unavailable","Unavailable","Unknown")))))</f>
        <v>Good supply</v>
      </c>
      <c r="K5" s="18" t="s">
        <v>397</v>
      </c>
      <c r="L5" s="22" t="n">
        <v>46308.6138888889</v>
      </c>
      <c r="M5" s="18" t="n">
        <f aca="false">IF(L5="","",ROUND((Config!$B$2-L5)*1440,0))</f>
        <v>16</v>
      </c>
      <c r="N5" s="18" t="str">
        <f aca="false">IF(K5="Staff verified",Config!$B$4,IF(OR(K5="Authorized student verified",K5="Multiple student reports",K5="Single student report"),Config!$B$3,""))</f>
        <v/>
      </c>
      <c r="O5" s="18" t="str">
        <f aca="false">IF(H5="No","n/a",IF(L5="","Unverified Data",IF(M5&gt;N5,"Stale report",K5)))</f>
        <v>Verified student report</v>
      </c>
      <c r="P5" s="18" t="str">
        <f aca="false">IF(AND(H5="Yes",OR(I5="Available",I5="Low stock")),IF(O5="Stale report","Verify first","Yes"),"No")</f>
        <v>Yes</v>
      </c>
      <c r="Q5" s="18" t="str">
        <f aca="false">IF(H5="Yes","proposed_pending_approval","n/a")</f>
        <v>proposed_pending_approval</v>
      </c>
      <c r="R5" s="18" t="str">
        <f aca="false">IF(H5="Yes","Retail swipe (proposed) / RU Express / Cash or card","n/a")</f>
        <v>Retail swipe (proposed) / RU Express / Cash or card</v>
      </c>
      <c r="S5" s="21" t="str">
        <f aca="false">INDEX(Products!$I$2:$I$29,MATCH($E5,Products!$A$2:$A$29,0))</f>
        <v>1 package</v>
      </c>
      <c r="T5" s="18" t="n">
        <f aca="false">IF(H5="Yes",Config!$B$5,"")</f>
        <v>75</v>
      </c>
      <c r="U5" s="21" t="str">
        <f aca="false">INDEX(Products!$J$2:$J$29,MATCH($E5,Products!$A$2:$A$29,0))</f>
        <v>No</v>
      </c>
      <c r="V5" s="18" t="s">
        <v>394</v>
      </c>
    </row>
    <row r="6" customFormat="false" ht="15" hidden="false" customHeight="true" outlineLevel="0" collapsed="false">
      <c r="A6" s="18" t="s">
        <v>400</v>
      </c>
      <c r="B6" s="18" t="s">
        <v>117</v>
      </c>
      <c r="C6" s="21" t="str">
        <f aca="false">INDEX(Locations!$B$2:$B$9,MATCH($B6,Locations!$A$2:$A$9,0))</f>
        <v>The Atrium</v>
      </c>
      <c r="D6" s="21" t="str">
        <f aca="false">INDEX(Locations!$C$2:$C$9,MATCH($B6,Locations!$A$2:$A$9,0))</f>
        <v>College Avenue</v>
      </c>
      <c r="E6" s="18" t="s">
        <v>232</v>
      </c>
      <c r="F6" s="21" t="str">
        <f aca="false">INDEX(Products!$B$2:$B$29,MATCH($E6,Products!$A$2:$A$29,0))</f>
        <v>Halls Mentho-Lyptus</v>
      </c>
      <c r="G6" s="21" t="str">
        <f aca="false">INDEX(Products!$C$2:$C$29,MATCH($E6,Products!$A$2:$A$29,0))</f>
        <v>Cold &amp; cough</v>
      </c>
      <c r="H6" s="18" t="s">
        <v>123</v>
      </c>
      <c r="I6" s="18" t="s">
        <v>392</v>
      </c>
      <c r="J6" s="18" t="str">
        <f aca="false">IF(H6="No","-",IF(I6="Available","Good supply",IF(I6="Low stock","Few left",IF(I6="Out of stock","None",IF(I6="Temporarily unavailable","Unavailable","Unknown")))))</f>
        <v>Good supply</v>
      </c>
      <c r="K6" s="18" t="s">
        <v>397</v>
      </c>
      <c r="L6" s="22" t="n">
        <v>46308.5965277778</v>
      </c>
      <c r="M6" s="18" t="n">
        <f aca="false">IF(L6="","",ROUND((Config!$B$2-L6)*1440,0))</f>
        <v>41</v>
      </c>
      <c r="N6" s="18" t="str">
        <f aca="false">IF(K6="Staff verified",Config!$B$4,IF(OR(K6="Authorized student verified",K6="Multiple student reports",K6="Single student report"),Config!$B$3,""))</f>
        <v/>
      </c>
      <c r="O6" s="18" t="str">
        <f aca="false">IF(H6="No","n/a",IF(L6="","Unverified Data",IF(M6&gt;N6,"Stale report",K6)))</f>
        <v>Verified student report</v>
      </c>
      <c r="P6" s="18" t="str">
        <f aca="false">IF(AND(H6="Yes",OR(I6="Available",I6="Low stock")),IF(O6="Stale report","Verify first","Yes"),"No")</f>
        <v>Yes</v>
      </c>
      <c r="Q6" s="18" t="str">
        <f aca="false">IF(H6="Yes","proposed_pending_approval","n/a")</f>
        <v>proposed_pending_approval</v>
      </c>
      <c r="R6" s="18" t="str">
        <f aca="false">IF(H6="Yes","Retail swipe (proposed) / RU Express / Cash or card","n/a")</f>
        <v>Retail swipe (proposed) / RU Express / Cash or card</v>
      </c>
      <c r="S6" s="21" t="str">
        <f aca="false">INDEX(Products!$I$2:$I$29,MATCH($E6,Products!$A$2:$A$29,0))</f>
        <v>2 bags</v>
      </c>
      <c r="T6" s="18" t="n">
        <f aca="false">IF(H6="Yes",Config!$B$5,"")</f>
        <v>75</v>
      </c>
      <c r="U6" s="21" t="str">
        <f aca="false">INDEX(Products!$J$2:$J$29,MATCH($E6,Products!$A$2:$A$29,0))</f>
        <v>No</v>
      </c>
      <c r="V6" s="18" t="s">
        <v>394</v>
      </c>
    </row>
    <row r="7" customFormat="false" ht="15" hidden="false" customHeight="true" outlineLevel="0" collapsed="false">
      <c r="A7" s="18" t="s">
        <v>401</v>
      </c>
      <c r="B7" s="18" t="s">
        <v>117</v>
      </c>
      <c r="C7" s="21" t="str">
        <f aca="false">INDEX(Locations!$B$2:$B$9,MATCH($B7,Locations!$A$2:$A$9,0))</f>
        <v>The Atrium</v>
      </c>
      <c r="D7" s="21" t="str">
        <f aca="false">INDEX(Locations!$C$2:$C$9,MATCH($B7,Locations!$A$2:$A$9,0))</f>
        <v>College Avenue</v>
      </c>
      <c r="E7" s="18" t="s">
        <v>240</v>
      </c>
      <c r="F7" s="21" t="str">
        <f aca="false">INDEX(Products!$B$2:$B$29,MATCH($E7,Products!$A$2:$A$29,0))</f>
        <v>Ricola Original Natural Herb</v>
      </c>
      <c r="G7" s="21" t="str">
        <f aca="false">INDEX(Products!$C$2:$C$29,MATCH($E7,Products!$A$2:$A$29,0))</f>
        <v>Cold &amp; cough</v>
      </c>
      <c r="H7" s="18" t="s">
        <v>123</v>
      </c>
      <c r="I7" s="18" t="s">
        <v>392</v>
      </c>
      <c r="J7" s="18" t="str">
        <f aca="false">IF(H7="No","-",IF(I7="Available","Good supply",IF(I7="Low stock","Few left",IF(I7="Out of stock","None",IF(I7="Temporarily unavailable","Unavailable","Unknown")))))</f>
        <v>Good supply</v>
      </c>
      <c r="K7" s="18" t="s">
        <v>397</v>
      </c>
      <c r="L7" s="22" t="n">
        <v>46308.6145833333</v>
      </c>
      <c r="M7" s="18" t="n">
        <f aca="false">IF(L7="","",ROUND((Config!$B$2-L7)*1440,0))</f>
        <v>15</v>
      </c>
      <c r="N7" s="18" t="str">
        <f aca="false">IF(K7="Staff verified",Config!$B$4,IF(OR(K7="Authorized student verified",K7="Multiple student reports",K7="Single student report"),Config!$B$3,""))</f>
        <v/>
      </c>
      <c r="O7" s="18" t="str">
        <f aca="false">IF(H7="No","n/a",IF(L7="","Unverified Data",IF(M7&gt;N7,"Stale report",K7)))</f>
        <v>Verified student report</v>
      </c>
      <c r="P7" s="18" t="str">
        <f aca="false">IF(AND(H7="Yes",OR(I7="Available",I7="Low stock")),IF(O7="Stale report","Verify first","Yes"),"No")</f>
        <v>Yes</v>
      </c>
      <c r="Q7" s="18" t="str">
        <f aca="false">IF(H7="Yes","proposed_pending_approval","n/a")</f>
        <v>proposed_pending_approval</v>
      </c>
      <c r="R7" s="18" t="str">
        <f aca="false">IF(H7="Yes","Retail swipe (proposed) / RU Express / Cash or card","n/a")</f>
        <v>Retail swipe (proposed) / RU Express / Cash or card</v>
      </c>
      <c r="S7" s="21" t="str">
        <f aca="false">INDEX(Products!$I$2:$I$29,MATCH($E7,Products!$A$2:$A$29,0))</f>
        <v>2 bags</v>
      </c>
      <c r="T7" s="18" t="n">
        <f aca="false">IF(H7="Yes",Config!$B$5,"")</f>
        <v>75</v>
      </c>
      <c r="U7" s="21" t="str">
        <f aca="false">INDEX(Products!$J$2:$J$29,MATCH($E7,Products!$A$2:$A$29,0))</f>
        <v>No</v>
      </c>
      <c r="V7" s="18" t="s">
        <v>394</v>
      </c>
    </row>
    <row r="8" customFormat="false" ht="15" hidden="false" customHeight="true" outlineLevel="0" collapsed="false">
      <c r="A8" s="18" t="s">
        <v>402</v>
      </c>
      <c r="B8" s="18" t="s">
        <v>117</v>
      </c>
      <c r="C8" s="21" t="str">
        <f aca="false">INDEX(Locations!$B$2:$B$9,MATCH($B8,Locations!$A$2:$A$9,0))</f>
        <v>The Atrium</v>
      </c>
      <c r="D8" s="21" t="str">
        <f aca="false">INDEX(Locations!$C$2:$C$9,MATCH($B8,Locations!$A$2:$A$9,0))</f>
        <v>College Avenue</v>
      </c>
      <c r="E8" s="18" t="s">
        <v>245</v>
      </c>
      <c r="F8" s="21" t="str">
        <f aca="false">INDEX(Products!$B$2:$B$29,MATCH($E8,Products!$A$2:$A$29,0))</f>
        <v>Chloraseptic Sore Throat Spray</v>
      </c>
      <c r="G8" s="21" t="str">
        <f aca="false">INDEX(Products!$C$2:$C$29,MATCH($E8,Products!$A$2:$A$29,0))</f>
        <v>Cold &amp; cough</v>
      </c>
      <c r="H8" s="18" t="s">
        <v>123</v>
      </c>
      <c r="I8" s="18" t="s">
        <v>392</v>
      </c>
      <c r="J8" s="18" t="str">
        <f aca="false">IF(H8="No","-",IF(I8="Available","Good supply",IF(I8="Low stock","Few left",IF(I8="Out of stock","None",IF(I8="Temporarily unavailable","Unavailable","Unknown")))))</f>
        <v>Good supply</v>
      </c>
      <c r="K8" s="18" t="s">
        <v>393</v>
      </c>
      <c r="L8" s="22" t="n">
        <v>46308.6020833333</v>
      </c>
      <c r="M8" s="18" t="n">
        <f aca="false">IF(L8="","",ROUND((Config!$B$2-L8)*1440,0))</f>
        <v>33</v>
      </c>
      <c r="N8" s="18" t="n">
        <f aca="false">IF(K8="Staff verified",Config!$B$4,IF(OR(K8="Authorized student verified",K8="Multiple student reports",K8="Single student report"),Config!$B$3,""))</f>
        <v>240</v>
      </c>
      <c r="O8" s="18" t="str">
        <f aca="false">IF(H8="No","n/a",IF(L8="","Unverified Data",IF(M8&gt;N8,"Stale report",K8)))</f>
        <v>Staff verified</v>
      </c>
      <c r="P8" s="18" t="str">
        <f aca="false">IF(AND(H8="Yes",OR(I8="Available",I8="Low stock")),IF(O8="Stale report","Verify first","Yes"),"No")</f>
        <v>Yes</v>
      </c>
      <c r="Q8" s="18" t="str">
        <f aca="false">IF(H8="Yes","proposed_pending_approval","n/a")</f>
        <v>proposed_pending_approval</v>
      </c>
      <c r="R8" s="18" t="str">
        <f aca="false">IF(H8="Yes","Retail swipe (proposed) / RU Express / Cash or card","n/a")</f>
        <v>Retail swipe (proposed) / RU Express / Cash or card</v>
      </c>
      <c r="S8" s="21" t="str">
        <f aca="false">INDEX(Products!$I$2:$I$29,MATCH($E8,Products!$A$2:$A$29,0))</f>
        <v>1 bottle</v>
      </c>
      <c r="T8" s="18" t="n">
        <f aca="false">IF(H8="Yes",Config!$B$5,"")</f>
        <v>75</v>
      </c>
      <c r="U8" s="21" t="str">
        <f aca="false">INDEX(Products!$J$2:$J$29,MATCH($E8,Products!$A$2:$A$29,0))</f>
        <v>No</v>
      </c>
      <c r="V8" s="18" t="s">
        <v>394</v>
      </c>
    </row>
    <row r="9" customFormat="false" ht="15" hidden="false" customHeight="true" outlineLevel="0" collapsed="false">
      <c r="A9" s="18" t="s">
        <v>403</v>
      </c>
      <c r="B9" s="18" t="s">
        <v>117</v>
      </c>
      <c r="C9" s="21" t="str">
        <f aca="false">INDEX(Locations!$B$2:$B$9,MATCH($B9,Locations!$A$2:$A$9,0))</f>
        <v>The Atrium</v>
      </c>
      <c r="D9" s="21" t="str">
        <f aca="false">INDEX(Locations!$C$2:$C$9,MATCH($B9,Locations!$A$2:$A$9,0))</f>
        <v>College Avenue</v>
      </c>
      <c r="E9" s="18" t="s">
        <v>251</v>
      </c>
      <c r="F9" s="21" t="str">
        <f aca="false">INDEX(Products!$B$2:$B$29,MATCH($E9,Products!$A$2:$A$29,0))</f>
        <v>Mucinex</v>
      </c>
      <c r="G9" s="21" t="str">
        <f aca="false">INDEX(Products!$C$2:$C$29,MATCH($E9,Products!$A$2:$A$29,0))</f>
        <v>Cold &amp; cough</v>
      </c>
      <c r="H9" s="18" t="s">
        <v>123</v>
      </c>
      <c r="I9" s="18" t="s">
        <v>404</v>
      </c>
      <c r="J9" s="18" t="str">
        <f aca="false">IF(H9="No","-",IF(I9="Available","Good supply",IF(I9="Low stock","Few left",IF(I9="Out of stock","None",IF(I9="Temporarily unavailable","Unavailable","Unknown")))))</f>
        <v>Few left</v>
      </c>
      <c r="K9" s="18" t="s">
        <v>393</v>
      </c>
      <c r="L9" s="22" t="n">
        <v>46308.5486111111</v>
      </c>
      <c r="M9" s="18" t="n">
        <f aca="false">IF(L9="","",ROUND((Config!$B$2-L9)*1440,0))</f>
        <v>110</v>
      </c>
      <c r="N9" s="18" t="n">
        <f aca="false">IF(K9="Staff verified",Config!$B$4,IF(OR(K9="Authorized student verified",K9="Multiple student reports",K9="Single student report"),Config!$B$3,""))</f>
        <v>240</v>
      </c>
      <c r="O9" s="18" t="str">
        <f aca="false">IF(H9="No","n/a",IF(L9="","Unverified Data",IF(M9&gt;N9,"Stale report",K9)))</f>
        <v>Staff verified</v>
      </c>
      <c r="P9" s="18" t="str">
        <f aca="false">IF(AND(H9="Yes",OR(I9="Available",I9="Low stock")),IF(O9="Stale report","Verify first","Yes"),"No")</f>
        <v>Yes</v>
      </c>
      <c r="Q9" s="18" t="str">
        <f aca="false">IF(H9="Yes","proposed_pending_approval","n/a")</f>
        <v>proposed_pending_approval</v>
      </c>
      <c r="R9" s="18" t="str">
        <f aca="false">IF(H9="Yes","Retail swipe (proposed) / RU Express / Cash or card","n/a")</f>
        <v>Retail swipe (proposed) / RU Express / Cash or card</v>
      </c>
      <c r="S9" s="21" t="str">
        <f aca="false">INDEX(Products!$I$2:$I$29,MATCH($E9,Products!$A$2:$A$29,0))</f>
        <v>1 package</v>
      </c>
      <c r="T9" s="18" t="n">
        <f aca="false">IF(H9="Yes",Config!$B$5,"")</f>
        <v>75</v>
      </c>
      <c r="U9" s="21" t="str">
        <f aca="false">INDEX(Products!$J$2:$J$29,MATCH($E9,Products!$A$2:$A$29,0))</f>
        <v>No</v>
      </c>
      <c r="V9" s="18" t="s">
        <v>394</v>
      </c>
    </row>
    <row r="10" customFormat="false" ht="15" hidden="false" customHeight="true" outlineLevel="0" collapsed="false">
      <c r="A10" s="18" t="s">
        <v>405</v>
      </c>
      <c r="B10" s="18" t="s">
        <v>117</v>
      </c>
      <c r="C10" s="21" t="str">
        <f aca="false">INDEX(Locations!$B$2:$B$9,MATCH($B10,Locations!$A$2:$A$9,0))</f>
        <v>The Atrium</v>
      </c>
      <c r="D10" s="21" t="str">
        <f aca="false">INDEX(Locations!$C$2:$C$9,MATCH($B10,Locations!$A$2:$A$9,0))</f>
        <v>College Avenue</v>
      </c>
      <c r="E10" s="18" t="s">
        <v>257</v>
      </c>
      <c r="F10" s="21" t="str">
        <f aca="false">INDEX(Products!$B$2:$B$29,MATCH($E10,Products!$A$2:$A$29,0))</f>
        <v>Robitussin DM</v>
      </c>
      <c r="G10" s="21" t="str">
        <f aca="false">INDEX(Products!$C$2:$C$29,MATCH($E10,Products!$A$2:$A$29,0))</f>
        <v>Cold &amp; cough</v>
      </c>
      <c r="H10" s="18" t="s">
        <v>123</v>
      </c>
      <c r="I10" s="18" t="s">
        <v>392</v>
      </c>
      <c r="J10" s="18" t="str">
        <f aca="false">IF(H10="No","-",IF(I10="Available","Good supply",IF(I10="Low stock","Few left",IF(I10="Out of stock","None",IF(I10="Temporarily unavailable","Unavailable","Unknown")))))</f>
        <v>Good supply</v>
      </c>
      <c r="K10" s="18" t="s">
        <v>393</v>
      </c>
      <c r="L10" s="22" t="n">
        <v>46308.4875</v>
      </c>
      <c r="M10" s="18" t="n">
        <f aca="false">IF(L10="","",ROUND((Config!$B$2-L10)*1440,0))</f>
        <v>198</v>
      </c>
      <c r="N10" s="18" t="n">
        <f aca="false">IF(K10="Staff verified",Config!$B$4,IF(OR(K10="Authorized student verified",K10="Multiple student reports",K10="Single student report"),Config!$B$3,""))</f>
        <v>240</v>
      </c>
      <c r="O10" s="18" t="str">
        <f aca="false">IF(H10="No","n/a",IF(L10="","Unverified Data",IF(M10&gt;N10,"Stale report",K10)))</f>
        <v>Staff verified</v>
      </c>
      <c r="P10" s="18" t="str">
        <f aca="false">IF(AND(H10="Yes",OR(I10="Available",I10="Low stock")),IF(O10="Stale report","Verify first","Yes"),"No")</f>
        <v>Yes</v>
      </c>
      <c r="Q10" s="18" t="str">
        <f aca="false">IF(H10="Yes","proposed_pending_approval","n/a")</f>
        <v>proposed_pending_approval</v>
      </c>
      <c r="R10" s="18" t="str">
        <f aca="false">IF(H10="Yes","Retail swipe (proposed) / RU Express / Cash or card","n/a")</f>
        <v>Retail swipe (proposed) / RU Express / Cash or card</v>
      </c>
      <c r="S10" s="21" t="str">
        <f aca="false">INDEX(Products!$I$2:$I$29,MATCH($E10,Products!$A$2:$A$29,0))</f>
        <v>1 bottle</v>
      </c>
      <c r="T10" s="18" t="n">
        <f aca="false">IF(H10="Yes",Config!$B$5,"")</f>
        <v>75</v>
      </c>
      <c r="U10" s="21" t="str">
        <f aca="false">INDEX(Products!$J$2:$J$29,MATCH($E10,Products!$A$2:$A$29,0))</f>
        <v>No</v>
      </c>
      <c r="V10" s="18" t="s">
        <v>394</v>
      </c>
    </row>
    <row r="11" customFormat="false" ht="15" hidden="false" customHeight="true" outlineLevel="0" collapsed="false">
      <c r="A11" s="18" t="s">
        <v>406</v>
      </c>
      <c r="B11" s="18" t="s">
        <v>117</v>
      </c>
      <c r="C11" s="21" t="str">
        <f aca="false">INDEX(Locations!$B$2:$B$9,MATCH($B11,Locations!$A$2:$A$9,0))</f>
        <v>The Atrium</v>
      </c>
      <c r="D11" s="21" t="str">
        <f aca="false">INDEX(Locations!$C$2:$C$9,MATCH($B11,Locations!$A$2:$A$9,0))</f>
        <v>College Avenue</v>
      </c>
      <c r="E11" s="18" t="s">
        <v>263</v>
      </c>
      <c r="F11" s="21" t="str">
        <f aca="false">INDEX(Products!$B$2:$B$29,MATCH($E11,Products!$A$2:$A$29,0))</f>
        <v>Simply Saline Nasal Mist</v>
      </c>
      <c r="G11" s="21" t="str">
        <f aca="false">INDEX(Products!$C$2:$C$29,MATCH($E11,Products!$A$2:$A$29,0))</f>
        <v>Cold &amp; cough</v>
      </c>
      <c r="H11" s="18" t="s">
        <v>123</v>
      </c>
      <c r="I11" s="18" t="s">
        <v>392</v>
      </c>
      <c r="J11" s="18" t="str">
        <f aca="false">IF(H11="No","-",IF(I11="Available","Good supply",IF(I11="Low stock","Few left",IF(I11="Out of stock","None",IF(I11="Temporarily unavailable","Unavailable","Unknown")))))</f>
        <v>Good supply</v>
      </c>
      <c r="K11" s="18" t="s">
        <v>397</v>
      </c>
      <c r="L11" s="22" t="n">
        <v>46308.6034722222</v>
      </c>
      <c r="M11" s="18" t="n">
        <f aca="false">IF(L11="","",ROUND((Config!$B$2-L11)*1440,0))</f>
        <v>31</v>
      </c>
      <c r="N11" s="18" t="str">
        <f aca="false">IF(K11="Staff verified",Config!$B$4,IF(OR(K11="Authorized student verified",K11="Multiple student reports",K11="Single student report"),Config!$B$3,""))</f>
        <v/>
      </c>
      <c r="O11" s="18" t="str">
        <f aca="false">IF(H11="No","n/a",IF(L11="","Unverified Data",IF(M11&gt;N11,"Stale report",K11)))</f>
        <v>Verified student report</v>
      </c>
      <c r="P11" s="18" t="str">
        <f aca="false">IF(AND(H11="Yes",OR(I11="Available",I11="Low stock")),IF(O11="Stale report","Verify first","Yes"),"No")</f>
        <v>Yes</v>
      </c>
      <c r="Q11" s="18" t="str">
        <f aca="false">IF(H11="Yes","proposed_pending_approval","n/a")</f>
        <v>proposed_pending_approval</v>
      </c>
      <c r="R11" s="18" t="str">
        <f aca="false">IF(H11="Yes","Retail swipe (proposed) / RU Express / Cash or card","n/a")</f>
        <v>Retail swipe (proposed) / RU Express / Cash or card</v>
      </c>
      <c r="S11" s="21" t="str">
        <f aca="false">INDEX(Products!$I$2:$I$29,MATCH($E11,Products!$A$2:$A$29,0))</f>
        <v>1 bottle</v>
      </c>
      <c r="T11" s="18" t="n">
        <f aca="false">IF(H11="Yes",Config!$B$5,"")</f>
        <v>75</v>
      </c>
      <c r="U11" s="21" t="str">
        <f aca="false">INDEX(Products!$J$2:$J$29,MATCH($E11,Products!$A$2:$A$29,0))</f>
        <v>No</v>
      </c>
      <c r="V11" s="18" t="s">
        <v>394</v>
      </c>
    </row>
    <row r="12" customFormat="false" ht="15" hidden="false" customHeight="true" outlineLevel="0" collapsed="false">
      <c r="A12" s="18" t="s">
        <v>407</v>
      </c>
      <c r="B12" s="18" t="s">
        <v>117</v>
      </c>
      <c r="C12" s="21" t="str">
        <f aca="false">INDEX(Locations!$B$2:$B$9,MATCH($B12,Locations!$A$2:$A$9,0))</f>
        <v>The Atrium</v>
      </c>
      <c r="D12" s="21" t="str">
        <f aca="false">INDEX(Locations!$C$2:$C$9,MATCH($B12,Locations!$A$2:$A$9,0))</f>
        <v>College Avenue</v>
      </c>
      <c r="E12" s="18" t="s">
        <v>268</v>
      </c>
      <c r="F12" s="21" t="str">
        <f aca="false">INDEX(Products!$B$2:$B$29,MATCH($E12,Products!$A$2:$A$29,0))</f>
        <v>Claritin</v>
      </c>
      <c r="G12" s="21" t="str">
        <f aca="false">INDEX(Products!$C$2:$C$29,MATCH($E12,Products!$A$2:$A$29,0))</f>
        <v>Allergy</v>
      </c>
      <c r="H12" s="18" t="s">
        <v>123</v>
      </c>
      <c r="I12" s="18" t="s">
        <v>392</v>
      </c>
      <c r="J12" s="18" t="str">
        <f aca="false">IF(H12="No","-",IF(I12="Available","Good supply",IF(I12="Low stock","Few left",IF(I12="Out of stock","None",IF(I12="Temporarily unavailable","Unavailable","Unknown")))))</f>
        <v>Good supply</v>
      </c>
      <c r="K12" s="18" t="s">
        <v>397</v>
      </c>
      <c r="L12" s="22" t="n">
        <v>46308.5972222222</v>
      </c>
      <c r="M12" s="18" t="n">
        <f aca="false">IF(L12="","",ROUND((Config!$B$2-L12)*1440,0))</f>
        <v>40</v>
      </c>
      <c r="N12" s="18" t="str">
        <f aca="false">IF(K12="Staff verified",Config!$B$4,IF(OR(K12="Authorized student verified",K12="Multiple student reports",K12="Single student report"),Config!$B$3,""))</f>
        <v/>
      </c>
      <c r="O12" s="18" t="str">
        <f aca="false">IF(H12="No","n/a",IF(L12="","Unverified Data",IF(M12&gt;N12,"Stale report",K12)))</f>
        <v>Verified student report</v>
      </c>
      <c r="P12" s="18" t="str">
        <f aca="false">IF(AND(H12="Yes",OR(I12="Available",I12="Low stock")),IF(O12="Stale report","Verify first","Yes"),"No")</f>
        <v>Yes</v>
      </c>
      <c r="Q12" s="18" t="str">
        <f aca="false">IF(H12="Yes","proposed_pending_approval","n/a")</f>
        <v>proposed_pending_approval</v>
      </c>
      <c r="R12" s="18" t="str">
        <f aca="false">IF(H12="Yes","Retail swipe (proposed) / RU Express / Cash or card","n/a")</f>
        <v>Retail swipe (proposed) / RU Express / Cash or card</v>
      </c>
      <c r="S12" s="21" t="str">
        <f aca="false">INDEX(Products!$I$2:$I$29,MATCH($E12,Products!$A$2:$A$29,0))</f>
        <v>1 package</v>
      </c>
      <c r="T12" s="18" t="n">
        <f aca="false">IF(H12="Yes",Config!$B$5,"")</f>
        <v>75</v>
      </c>
      <c r="U12" s="21" t="str">
        <f aca="false">INDEX(Products!$J$2:$J$29,MATCH($E12,Products!$A$2:$A$29,0))</f>
        <v>No</v>
      </c>
      <c r="V12" s="18" t="s">
        <v>394</v>
      </c>
    </row>
    <row r="13" customFormat="false" ht="15" hidden="false" customHeight="true" outlineLevel="0" collapsed="false">
      <c r="A13" s="18" t="s">
        <v>408</v>
      </c>
      <c r="B13" s="18" t="s">
        <v>117</v>
      </c>
      <c r="C13" s="21" t="str">
        <f aca="false">INDEX(Locations!$B$2:$B$9,MATCH($B13,Locations!$A$2:$A$9,0))</f>
        <v>The Atrium</v>
      </c>
      <c r="D13" s="21" t="str">
        <f aca="false">INDEX(Locations!$C$2:$C$9,MATCH($B13,Locations!$A$2:$A$9,0))</f>
        <v>College Avenue</v>
      </c>
      <c r="E13" s="18" t="s">
        <v>275</v>
      </c>
      <c r="F13" s="21" t="str">
        <f aca="false">INDEX(Products!$B$2:$B$29,MATCH($E13,Products!$A$2:$A$29,0))</f>
        <v>Zyrtec</v>
      </c>
      <c r="G13" s="21" t="str">
        <f aca="false">INDEX(Products!$C$2:$C$29,MATCH($E13,Products!$A$2:$A$29,0))</f>
        <v>Allergy</v>
      </c>
      <c r="H13" s="18" t="s">
        <v>123</v>
      </c>
      <c r="I13" s="18" t="s">
        <v>392</v>
      </c>
      <c r="J13" s="18" t="str">
        <f aca="false">IF(H13="No","-",IF(I13="Available","Good supply",IF(I13="Low stock","Few left",IF(I13="Out of stock","None",IF(I13="Temporarily unavailable","Unavailable","Unknown")))))</f>
        <v>Good supply</v>
      </c>
      <c r="K13" s="18" t="s">
        <v>409</v>
      </c>
      <c r="L13" s="22"/>
      <c r="M13" s="18" t="str">
        <f aca="false">IF(L13="","",ROUND((Config!$B$2-L13)*1440,0))</f>
        <v/>
      </c>
      <c r="N13" s="18" t="str">
        <f aca="false">IF(K13="Staff verified",Config!$B$4,IF(OR(K13="Authorized student verified",K13="Multiple student reports",K13="Single student report"),Config!$B$3,""))</f>
        <v/>
      </c>
      <c r="O13" s="18" t="str">
        <f aca="false">IF(H13="No","n/a",IF(L13="","Unverified Data",IF(M13&gt;N13,"Stale report",K13)))</f>
        <v>Unverified Data</v>
      </c>
      <c r="P13" s="18" t="str">
        <f aca="false">IF(AND(H13="Yes",OR(I13="Available",I13="Low stock")),IF(O13="Stale report","Verify first","Yes"),"No")</f>
        <v>Yes</v>
      </c>
      <c r="Q13" s="18" t="str">
        <f aca="false">IF(H13="Yes","proposed_pending_approval","n/a")</f>
        <v>proposed_pending_approval</v>
      </c>
      <c r="R13" s="18" t="str">
        <f aca="false">IF(H13="Yes","Retail swipe (proposed) / RU Express / Cash or card","n/a")</f>
        <v>Retail swipe (proposed) / RU Express / Cash or card</v>
      </c>
      <c r="S13" s="21" t="str">
        <f aca="false">INDEX(Products!$I$2:$I$29,MATCH($E13,Products!$A$2:$A$29,0))</f>
        <v>1 package</v>
      </c>
      <c r="T13" s="18" t="n">
        <f aca="false">IF(H13="Yes",Config!$B$5,"")</f>
        <v>75</v>
      </c>
      <c r="U13" s="21" t="str">
        <f aca="false">INDEX(Products!$J$2:$J$29,MATCH($E13,Products!$A$2:$A$29,0))</f>
        <v>No</v>
      </c>
      <c r="V13" s="18" t="s">
        <v>394</v>
      </c>
    </row>
    <row r="14" customFormat="false" ht="15" hidden="false" customHeight="true" outlineLevel="0" collapsed="false">
      <c r="A14" s="18" t="s">
        <v>410</v>
      </c>
      <c r="B14" s="18" t="s">
        <v>117</v>
      </c>
      <c r="C14" s="21" t="str">
        <f aca="false">INDEX(Locations!$B$2:$B$9,MATCH($B14,Locations!$A$2:$A$9,0))</f>
        <v>The Atrium</v>
      </c>
      <c r="D14" s="21" t="str">
        <f aca="false">INDEX(Locations!$C$2:$C$9,MATCH($B14,Locations!$A$2:$A$9,0))</f>
        <v>College Avenue</v>
      </c>
      <c r="E14" s="18" t="s">
        <v>281</v>
      </c>
      <c r="F14" s="21" t="str">
        <f aca="false">INDEX(Products!$B$2:$B$29,MATCH($E14,Products!$A$2:$A$29,0))</f>
        <v>Benadryl</v>
      </c>
      <c r="G14" s="21" t="str">
        <f aca="false">INDEX(Products!$C$2:$C$29,MATCH($E14,Products!$A$2:$A$29,0))</f>
        <v>Allergy</v>
      </c>
      <c r="H14" s="18" t="s">
        <v>123</v>
      </c>
      <c r="I14" s="18" t="s">
        <v>404</v>
      </c>
      <c r="J14" s="18" t="str">
        <f aca="false">IF(H14="No","-",IF(I14="Available","Good supply",IF(I14="Low stock","Few left",IF(I14="Out of stock","None",IF(I14="Temporarily unavailable","Unavailable","Unknown")))))</f>
        <v>Few left</v>
      </c>
      <c r="K14" s="18" t="s">
        <v>409</v>
      </c>
      <c r="L14" s="22"/>
      <c r="M14" s="18" t="str">
        <f aca="false">IF(L14="","",ROUND((Config!$B$2-L14)*1440,0))</f>
        <v/>
      </c>
      <c r="N14" s="18" t="str">
        <f aca="false">IF(K14="Staff verified",Config!$B$4,IF(OR(K14="Authorized student verified",K14="Multiple student reports",K14="Single student report"),Config!$B$3,""))</f>
        <v/>
      </c>
      <c r="O14" s="18" t="str">
        <f aca="false">IF(H14="No","n/a",IF(L14="","Unverified Data",IF(M14&gt;N14,"Stale report",K14)))</f>
        <v>Unverified Data</v>
      </c>
      <c r="P14" s="18" t="str">
        <f aca="false">IF(AND(H14="Yes",OR(I14="Available",I14="Low stock")),IF(O14="Stale report","Verify first","Yes"),"No")</f>
        <v>Yes</v>
      </c>
      <c r="Q14" s="18" t="str">
        <f aca="false">IF(H14="Yes","proposed_pending_approval","n/a")</f>
        <v>proposed_pending_approval</v>
      </c>
      <c r="R14" s="18" t="str">
        <f aca="false">IF(H14="Yes","Retail swipe (proposed) / RU Express / Cash or card","n/a")</f>
        <v>Retail swipe (proposed) / RU Express / Cash or card</v>
      </c>
      <c r="S14" s="21" t="str">
        <f aca="false">INDEX(Products!$I$2:$I$29,MATCH($E14,Products!$A$2:$A$29,0))</f>
        <v>1 package</v>
      </c>
      <c r="T14" s="18" t="n">
        <f aca="false">IF(H14="Yes",Config!$B$5,"")</f>
        <v>75</v>
      </c>
      <c r="U14" s="21" t="str">
        <f aca="false">INDEX(Products!$J$2:$J$29,MATCH($E14,Products!$A$2:$A$29,0))</f>
        <v>No</v>
      </c>
      <c r="V14" s="18" t="s">
        <v>394</v>
      </c>
    </row>
    <row r="15" customFormat="false" ht="15" hidden="false" customHeight="true" outlineLevel="0" collapsed="false">
      <c r="A15" s="18" t="s">
        <v>411</v>
      </c>
      <c r="B15" s="18" t="s">
        <v>117</v>
      </c>
      <c r="C15" s="21" t="str">
        <f aca="false">INDEX(Locations!$B$2:$B$9,MATCH($B15,Locations!$A$2:$A$9,0))</f>
        <v>The Atrium</v>
      </c>
      <c r="D15" s="21" t="str">
        <f aca="false">INDEX(Locations!$C$2:$C$9,MATCH($B15,Locations!$A$2:$A$9,0))</f>
        <v>College Avenue</v>
      </c>
      <c r="E15" s="18" t="s">
        <v>287</v>
      </c>
      <c r="F15" s="21" t="str">
        <f aca="false">INDEX(Products!$B$2:$B$29,MATCH($E15,Products!$A$2:$A$29,0))</f>
        <v>Tums</v>
      </c>
      <c r="G15" s="21" t="str">
        <f aca="false">INDEX(Products!$C$2:$C$29,MATCH($E15,Products!$A$2:$A$29,0))</f>
        <v>Digestive</v>
      </c>
      <c r="H15" s="18" t="s">
        <v>123</v>
      </c>
      <c r="I15" s="18" t="s">
        <v>404</v>
      </c>
      <c r="J15" s="18" t="str">
        <f aca="false">IF(H15="No","-",IF(I15="Available","Good supply",IF(I15="Low stock","Few left",IF(I15="Out of stock","None",IF(I15="Temporarily unavailable","Unavailable","Unknown")))))</f>
        <v>Few left</v>
      </c>
      <c r="K15" s="18" t="s">
        <v>397</v>
      </c>
      <c r="L15" s="22" t="n">
        <v>46308.5979166667</v>
      </c>
      <c r="M15" s="18" t="n">
        <f aca="false">IF(L15="","",ROUND((Config!$B$2-L15)*1440,0))</f>
        <v>39</v>
      </c>
      <c r="N15" s="18" t="str">
        <f aca="false">IF(K15="Staff verified",Config!$B$4,IF(OR(K15="Authorized student verified",K15="Multiple student reports",K15="Single student report"),Config!$B$3,""))</f>
        <v/>
      </c>
      <c r="O15" s="18" t="str">
        <f aca="false">IF(H15="No","n/a",IF(L15="","Unverified Data",IF(M15&gt;N15,"Stale report",K15)))</f>
        <v>Verified student report</v>
      </c>
      <c r="P15" s="18" t="str">
        <f aca="false">IF(AND(H15="Yes",OR(I15="Available",I15="Low stock")),IF(O15="Stale report","Verify first","Yes"),"No")</f>
        <v>Yes</v>
      </c>
      <c r="Q15" s="18" t="str">
        <f aca="false">IF(H15="Yes","proposed_pending_approval","n/a")</f>
        <v>proposed_pending_approval</v>
      </c>
      <c r="R15" s="18" t="str">
        <f aca="false">IF(H15="Yes","Retail swipe (proposed) / RU Express / Cash or card","n/a")</f>
        <v>Retail swipe (proposed) / RU Express / Cash or card</v>
      </c>
      <c r="S15" s="21" t="str">
        <f aca="false">INDEX(Products!$I$2:$I$29,MATCH($E15,Products!$A$2:$A$29,0))</f>
        <v>1 package</v>
      </c>
      <c r="T15" s="18" t="n">
        <f aca="false">IF(H15="Yes",Config!$B$5,"")</f>
        <v>75</v>
      </c>
      <c r="U15" s="21" t="str">
        <f aca="false">INDEX(Products!$J$2:$J$29,MATCH($E15,Products!$A$2:$A$29,0))</f>
        <v>No</v>
      </c>
      <c r="V15" s="18" t="s">
        <v>394</v>
      </c>
    </row>
    <row r="16" customFormat="false" ht="15" hidden="false" customHeight="true" outlineLevel="0" collapsed="false">
      <c r="A16" s="18" t="s">
        <v>412</v>
      </c>
      <c r="B16" s="18" t="s">
        <v>117</v>
      </c>
      <c r="C16" s="21" t="str">
        <f aca="false">INDEX(Locations!$B$2:$B$9,MATCH($B16,Locations!$A$2:$A$9,0))</f>
        <v>The Atrium</v>
      </c>
      <c r="D16" s="21" t="str">
        <f aca="false">INDEX(Locations!$C$2:$C$9,MATCH($B16,Locations!$A$2:$A$9,0))</f>
        <v>College Avenue</v>
      </c>
      <c r="E16" s="18" t="s">
        <v>293</v>
      </c>
      <c r="F16" s="21" t="str">
        <f aca="false">INDEX(Products!$B$2:$B$29,MATCH($E16,Products!$A$2:$A$29,0))</f>
        <v>Pepto-Bismol</v>
      </c>
      <c r="G16" s="21" t="str">
        <f aca="false">INDEX(Products!$C$2:$C$29,MATCH($E16,Products!$A$2:$A$29,0))</f>
        <v>Digestive</v>
      </c>
      <c r="H16" s="18" t="s">
        <v>123</v>
      </c>
      <c r="I16" s="18" t="s">
        <v>413</v>
      </c>
      <c r="J16" s="18" t="str">
        <f aca="false">IF(H16="No","-",IF(I16="Available","Good supply",IF(I16="Low stock","Few left",IF(I16="Out of stock","None",IF(I16="Temporarily unavailable","Unavailable","Unknown")))))</f>
        <v>Unknown</v>
      </c>
      <c r="K16" s="18" t="s">
        <v>409</v>
      </c>
      <c r="L16" s="22"/>
      <c r="M16" s="18" t="str">
        <f aca="false">IF(L16="","",ROUND((Config!$B$2-L16)*1440,0))</f>
        <v/>
      </c>
      <c r="N16" s="18" t="str">
        <f aca="false">IF(K16="Staff verified",Config!$B$4,IF(OR(K16="Authorized student verified",K16="Multiple student reports",K16="Single student report"),Config!$B$3,""))</f>
        <v/>
      </c>
      <c r="O16" s="18" t="str">
        <f aca="false">IF(H16="No","n/a",IF(L16="","Unverified Data",IF(M16&gt;N16,"Stale report",K16)))</f>
        <v>Unverified Data</v>
      </c>
      <c r="P16" s="18" t="str">
        <f aca="false">IF(AND(H16="Yes",OR(I16="Available",I16="Low stock")),IF(O16="Stale report","Verify first","Yes"),"No")</f>
        <v>No</v>
      </c>
      <c r="Q16" s="18" t="str">
        <f aca="false">IF(H16="Yes","proposed_pending_approval","n/a")</f>
        <v>proposed_pending_approval</v>
      </c>
      <c r="R16" s="18" t="str">
        <f aca="false">IF(H16="Yes","Retail swipe (proposed) / RU Express / Cash or card","n/a")</f>
        <v>Retail swipe (proposed) / RU Express / Cash or card</v>
      </c>
      <c r="S16" s="21" t="str">
        <f aca="false">INDEX(Products!$I$2:$I$29,MATCH($E16,Products!$A$2:$A$29,0))</f>
        <v>1 package</v>
      </c>
      <c r="T16" s="18" t="n">
        <f aca="false">IF(H16="Yes",Config!$B$5,"")</f>
        <v>75</v>
      </c>
      <c r="U16" s="21" t="str">
        <f aca="false">INDEX(Products!$J$2:$J$29,MATCH($E16,Products!$A$2:$A$29,0))</f>
        <v>No</v>
      </c>
      <c r="V16" s="18" t="s">
        <v>394</v>
      </c>
    </row>
    <row r="17" customFormat="false" ht="15" hidden="false" customHeight="true" outlineLevel="0" collapsed="false">
      <c r="A17" s="18" t="s">
        <v>414</v>
      </c>
      <c r="B17" s="18" t="s">
        <v>117</v>
      </c>
      <c r="C17" s="21" t="str">
        <f aca="false">INDEX(Locations!$B$2:$B$9,MATCH($B17,Locations!$A$2:$A$9,0))</f>
        <v>The Atrium</v>
      </c>
      <c r="D17" s="21" t="str">
        <f aca="false">INDEX(Locations!$C$2:$C$9,MATCH($B17,Locations!$A$2:$A$9,0))</f>
        <v>College Avenue</v>
      </c>
      <c r="E17" s="18" t="s">
        <v>299</v>
      </c>
      <c r="F17" s="21" t="str">
        <f aca="false">INDEX(Products!$B$2:$B$29,MATCH($E17,Products!$A$2:$A$29,0))</f>
        <v>Imodium A-D</v>
      </c>
      <c r="G17" s="21" t="str">
        <f aca="false">INDEX(Products!$C$2:$C$29,MATCH($E17,Products!$A$2:$A$29,0))</f>
        <v>Digestive</v>
      </c>
      <c r="H17" s="18" t="s">
        <v>123</v>
      </c>
      <c r="I17" s="18" t="s">
        <v>392</v>
      </c>
      <c r="J17" s="18" t="str">
        <f aca="false">IF(H17="No","-",IF(I17="Available","Good supply",IF(I17="Low stock","Few left",IF(I17="Out of stock","None",IF(I17="Temporarily unavailable","Unavailable","Unknown")))))</f>
        <v>Good supply</v>
      </c>
      <c r="K17" s="18" t="s">
        <v>397</v>
      </c>
      <c r="L17" s="22" t="n">
        <v>46308.5979166667</v>
      </c>
      <c r="M17" s="18" t="n">
        <f aca="false">IF(L17="","",ROUND((Config!$B$2-L17)*1440,0))</f>
        <v>39</v>
      </c>
      <c r="N17" s="18" t="str">
        <f aca="false">IF(K17="Staff verified",Config!$B$4,IF(OR(K17="Authorized student verified",K17="Multiple student reports",K17="Single student report"),Config!$B$3,""))</f>
        <v/>
      </c>
      <c r="O17" s="18" t="str">
        <f aca="false">IF(H17="No","n/a",IF(L17="","Unverified Data",IF(M17&gt;N17,"Stale report",K17)))</f>
        <v>Verified student report</v>
      </c>
      <c r="P17" s="18" t="str">
        <f aca="false">IF(AND(H17="Yes",OR(I17="Available",I17="Low stock")),IF(O17="Stale report","Verify first","Yes"),"No")</f>
        <v>Yes</v>
      </c>
      <c r="Q17" s="18" t="str">
        <f aca="false">IF(H17="Yes","proposed_pending_approval","n/a")</f>
        <v>proposed_pending_approval</v>
      </c>
      <c r="R17" s="18" t="str">
        <f aca="false">IF(H17="Yes","Retail swipe (proposed) / RU Express / Cash or card","n/a")</f>
        <v>Retail swipe (proposed) / RU Express / Cash or card</v>
      </c>
      <c r="S17" s="21" t="str">
        <f aca="false">INDEX(Products!$I$2:$I$29,MATCH($E17,Products!$A$2:$A$29,0))</f>
        <v>1 package</v>
      </c>
      <c r="T17" s="18" t="n">
        <f aca="false">IF(H17="Yes",Config!$B$5,"")</f>
        <v>75</v>
      </c>
      <c r="U17" s="21" t="str">
        <f aca="false">INDEX(Products!$J$2:$J$29,MATCH($E17,Products!$A$2:$A$29,0))</f>
        <v>No</v>
      </c>
      <c r="V17" s="18" t="s">
        <v>394</v>
      </c>
    </row>
    <row r="18" customFormat="false" ht="15" hidden="false" customHeight="true" outlineLevel="0" collapsed="false">
      <c r="A18" s="18" t="s">
        <v>415</v>
      </c>
      <c r="B18" s="18" t="s">
        <v>117</v>
      </c>
      <c r="C18" s="21" t="str">
        <f aca="false">INDEX(Locations!$B$2:$B$9,MATCH($B18,Locations!$A$2:$A$9,0))</f>
        <v>The Atrium</v>
      </c>
      <c r="D18" s="21" t="str">
        <f aca="false">INDEX(Locations!$C$2:$C$9,MATCH($B18,Locations!$A$2:$A$9,0))</f>
        <v>College Avenue</v>
      </c>
      <c r="E18" s="18" t="s">
        <v>305</v>
      </c>
      <c r="F18" s="21" t="str">
        <f aca="false">INDEX(Products!$B$2:$B$29,MATCH($E18,Products!$A$2:$A$29,0))</f>
        <v>Pedialyte</v>
      </c>
      <c r="G18" s="21" t="str">
        <f aca="false">INDEX(Products!$C$2:$C$29,MATCH($E18,Products!$A$2:$A$29,0))</f>
        <v>Hydration</v>
      </c>
      <c r="H18" s="18" t="s">
        <v>123</v>
      </c>
      <c r="I18" s="18" t="s">
        <v>396</v>
      </c>
      <c r="J18" s="18" t="str">
        <f aca="false">IF(H18="No","-",IF(I18="Available","Good supply",IF(I18="Low stock","Few left",IF(I18="Out of stock","None",IF(I18="Temporarily unavailable","Unavailable","Unknown")))))</f>
        <v>None</v>
      </c>
      <c r="K18" s="18" t="s">
        <v>393</v>
      </c>
      <c r="L18" s="22" t="n">
        <v>46308.4902777778</v>
      </c>
      <c r="M18" s="18" t="n">
        <f aca="false">IF(L18="","",ROUND((Config!$B$2-L18)*1440,0))</f>
        <v>194</v>
      </c>
      <c r="N18" s="18" t="n">
        <f aca="false">IF(K18="Staff verified",Config!$B$4,IF(OR(K18="Authorized student verified",K18="Multiple student reports",K18="Single student report"),Config!$B$3,""))</f>
        <v>240</v>
      </c>
      <c r="O18" s="18" t="str">
        <f aca="false">IF(H18="No","n/a",IF(L18="","Unverified Data",IF(M18&gt;N18,"Stale report",K18)))</f>
        <v>Staff verified</v>
      </c>
      <c r="P18" s="18" t="str">
        <f aca="false">IF(AND(H18="Yes",OR(I18="Available",I18="Low stock")),IF(O18="Stale report","Verify first","Yes"),"No")</f>
        <v>No</v>
      </c>
      <c r="Q18" s="18" t="str">
        <f aca="false">IF(H18="Yes","proposed_pending_approval","n/a")</f>
        <v>proposed_pending_approval</v>
      </c>
      <c r="R18" s="18" t="str">
        <f aca="false">IF(H18="Yes","Retail swipe (proposed) / RU Express / Cash or card","n/a")</f>
        <v>Retail swipe (proposed) / RU Express / Cash or card</v>
      </c>
      <c r="S18" s="21" t="str">
        <f aca="false">INDEX(Products!$I$2:$I$29,MATCH($E18,Products!$A$2:$A$29,0))</f>
        <v>2 bottles</v>
      </c>
      <c r="T18" s="18" t="n">
        <f aca="false">IF(H18="Yes",Config!$B$5,"")</f>
        <v>75</v>
      </c>
      <c r="U18" s="21" t="str">
        <f aca="false">INDEX(Products!$J$2:$J$29,MATCH($E18,Products!$A$2:$A$29,0))</f>
        <v>No</v>
      </c>
      <c r="V18" s="18" t="s">
        <v>394</v>
      </c>
    </row>
    <row r="19" customFormat="false" ht="15" hidden="false" customHeight="true" outlineLevel="0" collapsed="false">
      <c r="A19" s="18" t="s">
        <v>416</v>
      </c>
      <c r="B19" s="18" t="s">
        <v>117</v>
      </c>
      <c r="C19" s="21" t="str">
        <f aca="false">INDEX(Locations!$B$2:$B$9,MATCH($B19,Locations!$A$2:$A$9,0))</f>
        <v>The Atrium</v>
      </c>
      <c r="D19" s="21" t="str">
        <f aca="false">INDEX(Locations!$C$2:$C$9,MATCH($B19,Locations!$A$2:$A$9,0))</f>
        <v>College Avenue</v>
      </c>
      <c r="E19" s="18" t="s">
        <v>312</v>
      </c>
      <c r="F19" s="21" t="str">
        <f aca="false">INDEX(Products!$B$2:$B$29,MATCH($E19,Products!$A$2:$A$29,0))</f>
        <v>Digital thermometer (brand varies)</v>
      </c>
      <c r="G19" s="21" t="str">
        <f aca="false">INDEX(Products!$C$2:$C$29,MATCH($E19,Products!$A$2:$A$29,0))</f>
        <v>Diagnostics</v>
      </c>
      <c r="H19" s="18" t="s">
        <v>123</v>
      </c>
      <c r="I19" s="18" t="s">
        <v>392</v>
      </c>
      <c r="J19" s="18" t="str">
        <f aca="false">IF(H19="No","-",IF(I19="Available","Good supply",IF(I19="Low stock","Few left",IF(I19="Out of stock","None",IF(I19="Temporarily unavailable","Unavailable","Unknown")))))</f>
        <v>Good supply</v>
      </c>
      <c r="K19" s="18" t="s">
        <v>397</v>
      </c>
      <c r="L19" s="22" t="n">
        <v>46308.6027777778</v>
      </c>
      <c r="M19" s="18" t="n">
        <f aca="false">IF(L19="","",ROUND((Config!$B$2-L19)*1440,0))</f>
        <v>32</v>
      </c>
      <c r="N19" s="18" t="str">
        <f aca="false">IF(K19="Staff verified",Config!$B$4,IF(OR(K19="Authorized student verified",K19="Multiple student reports",K19="Single student report"),Config!$B$3,""))</f>
        <v/>
      </c>
      <c r="O19" s="18" t="str">
        <f aca="false">IF(H19="No","n/a",IF(L19="","Unverified Data",IF(M19&gt;N19,"Stale report",K19)))</f>
        <v>Verified student report</v>
      </c>
      <c r="P19" s="18" t="str">
        <f aca="false">IF(AND(H19="Yes",OR(I19="Available",I19="Low stock")),IF(O19="Stale report","Verify first","Yes"),"No")</f>
        <v>Yes</v>
      </c>
      <c r="Q19" s="18" t="str">
        <f aca="false">IF(H19="Yes","proposed_pending_approval","n/a")</f>
        <v>proposed_pending_approval</v>
      </c>
      <c r="R19" s="18" t="str">
        <f aca="false">IF(H19="Yes","Retail swipe (proposed) / RU Express / Cash or card","n/a")</f>
        <v>Retail swipe (proposed) / RU Express / Cash or card</v>
      </c>
      <c r="S19" s="21" t="str">
        <f aca="false">INDEX(Products!$I$2:$I$29,MATCH($E19,Products!$A$2:$A$29,0))</f>
        <v>1 unit</v>
      </c>
      <c r="T19" s="18" t="n">
        <f aca="false">IF(H19="Yes",Config!$B$5,"")</f>
        <v>75</v>
      </c>
      <c r="U19" s="21" t="str">
        <f aca="false">INDEX(Products!$J$2:$J$29,MATCH($E19,Products!$A$2:$A$29,0))</f>
        <v>No</v>
      </c>
      <c r="V19" s="18" t="s">
        <v>394</v>
      </c>
    </row>
    <row r="20" customFormat="false" ht="15" hidden="false" customHeight="true" outlineLevel="0" collapsed="false">
      <c r="A20" s="18" t="s">
        <v>417</v>
      </c>
      <c r="B20" s="18" t="s">
        <v>117</v>
      </c>
      <c r="C20" s="21" t="str">
        <f aca="false">INDEX(Locations!$B$2:$B$9,MATCH($B20,Locations!$A$2:$A$9,0))</f>
        <v>The Atrium</v>
      </c>
      <c r="D20" s="21" t="str">
        <f aca="false">INDEX(Locations!$C$2:$C$9,MATCH($B20,Locations!$A$2:$A$9,0))</f>
        <v>College Avenue</v>
      </c>
      <c r="E20" s="18" t="s">
        <v>320</v>
      </c>
      <c r="F20" s="21" t="str">
        <f aca="false">INDEX(Products!$B$2:$B$29,MATCH($E20,Products!$A$2:$A$29,0))</f>
        <v>iHealth COVID-19 Antigen Rapid Test</v>
      </c>
      <c r="G20" s="21" t="str">
        <f aca="false">INDEX(Products!$C$2:$C$29,MATCH($E20,Products!$A$2:$A$29,0))</f>
        <v>Diagnostics</v>
      </c>
      <c r="H20" s="18" t="s">
        <v>123</v>
      </c>
      <c r="I20" s="18" t="s">
        <v>396</v>
      </c>
      <c r="J20" s="18" t="str">
        <f aca="false">IF(H20="No","-",IF(I20="Available","Good supply",IF(I20="Low stock","Few left",IF(I20="Out of stock","None",IF(I20="Temporarily unavailable","Unavailable","Unknown")))))</f>
        <v>None</v>
      </c>
      <c r="K20" s="18" t="s">
        <v>397</v>
      </c>
      <c r="L20" s="22" t="n">
        <v>46308.5958333333</v>
      </c>
      <c r="M20" s="18" t="n">
        <f aca="false">IF(L20="","",ROUND((Config!$B$2-L20)*1440,0))</f>
        <v>42</v>
      </c>
      <c r="N20" s="18" t="str">
        <f aca="false">IF(K20="Staff verified",Config!$B$4,IF(OR(K20="Authorized student verified",K20="Multiple student reports",K20="Single student report"),Config!$B$3,""))</f>
        <v/>
      </c>
      <c r="O20" s="18" t="str">
        <f aca="false">IF(H20="No","n/a",IF(L20="","Unverified Data",IF(M20&gt;N20,"Stale report",K20)))</f>
        <v>Verified student report</v>
      </c>
      <c r="P20" s="18" t="str">
        <f aca="false">IF(AND(H20="Yes",OR(I20="Available",I20="Low stock")),IF(O20="Stale report","Verify first","Yes"),"No")</f>
        <v>No</v>
      </c>
      <c r="Q20" s="18" t="str">
        <f aca="false">IF(H20="Yes","proposed_pending_approval","n/a")</f>
        <v>proposed_pending_approval</v>
      </c>
      <c r="R20" s="18" t="str">
        <f aca="false">IF(H20="Yes","Retail swipe (proposed) / RU Express / Cash or card","n/a")</f>
        <v>Retail swipe (proposed) / RU Express / Cash or card</v>
      </c>
      <c r="S20" s="21" t="str">
        <f aca="false">INDEX(Products!$I$2:$I$29,MATCH($E20,Products!$A$2:$A$29,0))</f>
        <v>1 kit</v>
      </c>
      <c r="T20" s="18" t="n">
        <f aca="false">IF(H20="Yes",Config!$B$5,"")</f>
        <v>75</v>
      </c>
      <c r="U20" s="21" t="str">
        <f aca="false">INDEX(Products!$J$2:$J$29,MATCH($E20,Products!$A$2:$A$29,0))</f>
        <v>No</v>
      </c>
      <c r="V20" s="18" t="s">
        <v>394</v>
      </c>
    </row>
    <row r="21" customFormat="false" ht="15" hidden="false" customHeight="true" outlineLevel="0" collapsed="false">
      <c r="A21" s="18" t="s">
        <v>418</v>
      </c>
      <c r="B21" s="18" t="s">
        <v>117</v>
      </c>
      <c r="C21" s="21" t="str">
        <f aca="false">INDEX(Locations!$B$2:$B$9,MATCH($B21,Locations!$A$2:$A$9,0))</f>
        <v>The Atrium</v>
      </c>
      <c r="D21" s="21" t="str">
        <f aca="false">INDEX(Locations!$C$2:$C$9,MATCH($B21,Locations!$A$2:$A$9,0))</f>
        <v>College Avenue</v>
      </c>
      <c r="E21" s="18" t="s">
        <v>327</v>
      </c>
      <c r="F21" s="21" t="str">
        <f aca="false">INDEX(Products!$B$2:$B$29,MATCH($E21,Products!$A$2:$A$29,0))</f>
        <v>Band-Aid Brand Adhesive Bandages</v>
      </c>
      <c r="G21" s="21" t="str">
        <f aca="false">INDEX(Products!$C$2:$C$29,MATCH($E21,Products!$A$2:$A$29,0))</f>
        <v>First aid &amp; comfort</v>
      </c>
      <c r="H21" s="18" t="s">
        <v>123</v>
      </c>
      <c r="I21" s="18" t="s">
        <v>392</v>
      </c>
      <c r="J21" s="18" t="str">
        <f aca="false">IF(H21="No","-",IF(I21="Available","Good supply",IF(I21="Low stock","Few left",IF(I21="Out of stock","None",IF(I21="Temporarily unavailable","Unavailable","Unknown")))))</f>
        <v>Good supply</v>
      </c>
      <c r="K21" s="18" t="s">
        <v>397</v>
      </c>
      <c r="L21" s="22" t="n">
        <v>46308.61875</v>
      </c>
      <c r="M21" s="18" t="n">
        <f aca="false">IF(L21="","",ROUND((Config!$B$2-L21)*1440,0))</f>
        <v>9</v>
      </c>
      <c r="N21" s="18" t="str">
        <f aca="false">IF(K21="Staff verified",Config!$B$4,IF(OR(K21="Authorized student verified",K21="Multiple student reports",K21="Single student report"),Config!$B$3,""))</f>
        <v/>
      </c>
      <c r="O21" s="18" t="str">
        <f aca="false">IF(H21="No","n/a",IF(L21="","Unverified Data",IF(M21&gt;N21,"Stale report",K21)))</f>
        <v>Verified student report</v>
      </c>
      <c r="P21" s="18" t="str">
        <f aca="false">IF(AND(H21="Yes",OR(I21="Available",I21="Low stock")),IF(O21="Stale report","Verify first","Yes"),"No")</f>
        <v>Yes</v>
      </c>
      <c r="Q21" s="18" t="str">
        <f aca="false">IF(H21="Yes","proposed_pending_approval","n/a")</f>
        <v>proposed_pending_approval</v>
      </c>
      <c r="R21" s="18" t="str">
        <f aca="false">IF(H21="Yes","Retail swipe (proposed) / RU Express / Cash or card","n/a")</f>
        <v>Retail swipe (proposed) / RU Express / Cash or card</v>
      </c>
      <c r="S21" s="21" t="str">
        <f aca="false">INDEX(Products!$I$2:$I$29,MATCH($E21,Products!$A$2:$A$29,0))</f>
        <v>1 box</v>
      </c>
      <c r="T21" s="18" t="n">
        <f aca="false">IF(H21="Yes",Config!$B$5,"")</f>
        <v>75</v>
      </c>
      <c r="U21" s="21" t="str">
        <f aca="false">INDEX(Products!$J$2:$J$29,MATCH($E21,Products!$A$2:$A$29,0))</f>
        <v>No</v>
      </c>
      <c r="V21" s="18" t="s">
        <v>394</v>
      </c>
    </row>
    <row r="22" customFormat="false" ht="15" hidden="false" customHeight="true" outlineLevel="0" collapsed="false">
      <c r="A22" s="18" t="s">
        <v>419</v>
      </c>
      <c r="B22" s="18" t="s">
        <v>117</v>
      </c>
      <c r="C22" s="21" t="str">
        <f aca="false">INDEX(Locations!$B$2:$B$9,MATCH($B22,Locations!$A$2:$A$9,0))</f>
        <v>The Atrium</v>
      </c>
      <c r="D22" s="21" t="str">
        <f aca="false">INDEX(Locations!$C$2:$C$9,MATCH($B22,Locations!$A$2:$A$9,0))</f>
        <v>College Avenue</v>
      </c>
      <c r="E22" s="18" t="s">
        <v>333</v>
      </c>
      <c r="F22" s="21" t="str">
        <f aca="false">INDEX(Products!$B$2:$B$29,MATCH($E22,Products!$A$2:$A$29,0))</f>
        <v>Johnson &amp; Johnson First Aid To Go Kit</v>
      </c>
      <c r="G22" s="21" t="str">
        <f aca="false">INDEX(Products!$C$2:$C$29,MATCH($E22,Products!$A$2:$A$29,0))</f>
        <v>First aid &amp; comfort</v>
      </c>
      <c r="H22" s="18" t="s">
        <v>123</v>
      </c>
      <c r="I22" s="18" t="s">
        <v>396</v>
      </c>
      <c r="J22" s="18" t="str">
        <f aca="false">IF(H22="No","-",IF(I22="Available","Good supply",IF(I22="Low stock","Few left",IF(I22="Out of stock","None",IF(I22="Temporarily unavailable","Unavailable","Unknown")))))</f>
        <v>None</v>
      </c>
      <c r="K22" s="18" t="s">
        <v>393</v>
      </c>
      <c r="L22" s="22" t="n">
        <v>46308.6131944444</v>
      </c>
      <c r="M22" s="18" t="n">
        <f aca="false">IF(L22="","",ROUND((Config!$B$2-L22)*1440,0))</f>
        <v>17</v>
      </c>
      <c r="N22" s="18" t="n">
        <f aca="false">IF(K22="Staff verified",Config!$B$4,IF(OR(K22="Authorized student verified",K22="Multiple student reports",K22="Single student report"),Config!$B$3,""))</f>
        <v>240</v>
      </c>
      <c r="O22" s="18" t="str">
        <f aca="false">IF(H22="No","n/a",IF(L22="","Unverified Data",IF(M22&gt;N22,"Stale report",K22)))</f>
        <v>Staff verified</v>
      </c>
      <c r="P22" s="18" t="str">
        <f aca="false">IF(AND(H22="Yes",OR(I22="Available",I22="Low stock")),IF(O22="Stale report","Verify first","Yes"),"No")</f>
        <v>No</v>
      </c>
      <c r="Q22" s="18" t="str">
        <f aca="false">IF(H22="Yes","proposed_pending_approval","n/a")</f>
        <v>proposed_pending_approval</v>
      </c>
      <c r="R22" s="18" t="str">
        <f aca="false">IF(H22="Yes","Retail swipe (proposed) / RU Express / Cash or card","n/a")</f>
        <v>Retail swipe (proposed) / RU Express / Cash or card</v>
      </c>
      <c r="S22" s="21" t="str">
        <f aca="false">INDEX(Products!$I$2:$I$29,MATCH($E22,Products!$A$2:$A$29,0))</f>
        <v>1 kit</v>
      </c>
      <c r="T22" s="18" t="n">
        <f aca="false">IF(H22="Yes",Config!$B$5,"")</f>
        <v>75</v>
      </c>
      <c r="U22" s="21" t="str">
        <f aca="false">INDEX(Products!$J$2:$J$29,MATCH($E22,Products!$A$2:$A$29,0))</f>
        <v>No</v>
      </c>
      <c r="V22" s="18" t="s">
        <v>394</v>
      </c>
    </row>
    <row r="23" customFormat="false" ht="15" hidden="false" customHeight="true" outlineLevel="0" collapsed="false">
      <c r="A23" s="18" t="s">
        <v>420</v>
      </c>
      <c r="B23" s="18" t="s">
        <v>117</v>
      </c>
      <c r="C23" s="21" t="str">
        <f aca="false">INDEX(Locations!$B$2:$B$9,MATCH($B23,Locations!$A$2:$A$9,0))</f>
        <v>The Atrium</v>
      </c>
      <c r="D23" s="21" t="str">
        <f aca="false">INDEX(Locations!$C$2:$C$9,MATCH($B23,Locations!$A$2:$A$9,0))</f>
        <v>College Avenue</v>
      </c>
      <c r="E23" s="18" t="s">
        <v>338</v>
      </c>
      <c r="F23" s="21" t="str">
        <f aca="false">INDEX(Products!$B$2:$B$29,MATCH($E23,Products!$A$2:$A$29,0))</f>
        <v>Neosporin Original Ointment</v>
      </c>
      <c r="G23" s="21" t="str">
        <f aca="false">INDEX(Products!$C$2:$C$29,MATCH($E23,Products!$A$2:$A$29,0))</f>
        <v>First aid &amp; comfort</v>
      </c>
      <c r="H23" s="18" t="s">
        <v>123</v>
      </c>
      <c r="I23" s="18" t="s">
        <v>392</v>
      </c>
      <c r="J23" s="18" t="str">
        <f aca="false">IF(H23="No","-",IF(I23="Available","Good supply",IF(I23="Low stock","Few left",IF(I23="Out of stock","None",IF(I23="Temporarily unavailable","Unavailable","Unknown")))))</f>
        <v>Good supply</v>
      </c>
      <c r="K23" s="18" t="s">
        <v>393</v>
      </c>
      <c r="L23" s="22" t="n">
        <v>46308.5722222222</v>
      </c>
      <c r="M23" s="18" t="n">
        <f aca="false">IF(L23="","",ROUND((Config!$B$2-L23)*1440,0))</f>
        <v>76</v>
      </c>
      <c r="N23" s="18" t="n">
        <f aca="false">IF(K23="Staff verified",Config!$B$4,IF(OR(K23="Authorized student verified",K23="Multiple student reports",K23="Single student report"),Config!$B$3,""))</f>
        <v>240</v>
      </c>
      <c r="O23" s="18" t="str">
        <f aca="false">IF(H23="No","n/a",IF(L23="","Unverified Data",IF(M23&gt;N23,"Stale report",K23)))</f>
        <v>Staff verified</v>
      </c>
      <c r="P23" s="18" t="str">
        <f aca="false">IF(AND(H23="Yes",OR(I23="Available",I23="Low stock")),IF(O23="Stale report","Verify first","Yes"),"No")</f>
        <v>Yes</v>
      </c>
      <c r="Q23" s="18" t="str">
        <f aca="false">IF(H23="Yes","proposed_pending_approval","n/a")</f>
        <v>proposed_pending_approval</v>
      </c>
      <c r="R23" s="18" t="str">
        <f aca="false">IF(H23="Yes","Retail swipe (proposed) / RU Express / Cash or card","n/a")</f>
        <v>Retail swipe (proposed) / RU Express / Cash or card</v>
      </c>
      <c r="S23" s="21" t="str">
        <f aca="false">INDEX(Products!$I$2:$I$29,MATCH($E23,Products!$A$2:$A$29,0))</f>
        <v>1 tube</v>
      </c>
      <c r="T23" s="18" t="n">
        <f aca="false">IF(H23="Yes",Config!$B$5,"")</f>
        <v>75</v>
      </c>
      <c r="U23" s="21" t="str">
        <f aca="false">INDEX(Products!$J$2:$J$29,MATCH($E23,Products!$A$2:$A$29,0))</f>
        <v>No</v>
      </c>
      <c r="V23" s="18" t="s">
        <v>394</v>
      </c>
    </row>
    <row r="24" customFormat="false" ht="15" hidden="false" customHeight="true" outlineLevel="0" collapsed="false">
      <c r="A24" s="18" t="s">
        <v>421</v>
      </c>
      <c r="B24" s="18" t="s">
        <v>117</v>
      </c>
      <c r="C24" s="21" t="str">
        <f aca="false">INDEX(Locations!$B$2:$B$9,MATCH($B24,Locations!$A$2:$A$9,0))</f>
        <v>The Atrium</v>
      </c>
      <c r="D24" s="21" t="str">
        <f aca="false">INDEX(Locations!$C$2:$C$9,MATCH($B24,Locations!$A$2:$A$9,0))</f>
        <v>College Avenue</v>
      </c>
      <c r="E24" s="18" t="s">
        <v>345</v>
      </c>
      <c r="F24" s="21" t="str">
        <f aca="false">INDEX(Products!$B$2:$B$29,MATCH($E24,Products!$A$2:$A$29,0))</f>
        <v>Instant cold pack (brand varies)</v>
      </c>
      <c r="G24" s="21" t="str">
        <f aca="false">INDEX(Products!$C$2:$C$29,MATCH($E24,Products!$A$2:$A$29,0))</f>
        <v>First aid &amp; comfort</v>
      </c>
      <c r="H24" s="18" t="s">
        <v>123</v>
      </c>
      <c r="I24" s="18" t="s">
        <v>404</v>
      </c>
      <c r="J24" s="18" t="str">
        <f aca="false">IF(H24="No","-",IF(I24="Available","Good supply",IF(I24="Low stock","Few left",IF(I24="Out of stock","None",IF(I24="Temporarily unavailable","Unavailable","Unknown")))))</f>
        <v>Few left</v>
      </c>
      <c r="K24" s="18" t="s">
        <v>393</v>
      </c>
      <c r="L24" s="22" t="n">
        <v>46308.4958333333</v>
      </c>
      <c r="M24" s="18" t="n">
        <f aca="false">IF(L24="","",ROUND((Config!$B$2-L24)*1440,0))</f>
        <v>186</v>
      </c>
      <c r="N24" s="18" t="n">
        <f aca="false">IF(K24="Staff verified",Config!$B$4,IF(OR(K24="Authorized student verified",K24="Multiple student reports",K24="Single student report"),Config!$B$3,""))</f>
        <v>240</v>
      </c>
      <c r="O24" s="18" t="str">
        <f aca="false">IF(H24="No","n/a",IF(L24="","Unverified Data",IF(M24&gt;N24,"Stale report",K24)))</f>
        <v>Staff verified</v>
      </c>
      <c r="P24" s="18" t="str">
        <f aca="false">IF(AND(H24="Yes",OR(I24="Available",I24="Low stock")),IF(O24="Stale report","Verify first","Yes"),"No")</f>
        <v>Yes</v>
      </c>
      <c r="Q24" s="18" t="str">
        <f aca="false">IF(H24="Yes","proposed_pending_approval","n/a")</f>
        <v>proposed_pending_approval</v>
      </c>
      <c r="R24" s="18" t="str">
        <f aca="false">IF(H24="Yes","Retail swipe (proposed) / RU Express / Cash or card","n/a")</f>
        <v>Retail swipe (proposed) / RU Express / Cash or card</v>
      </c>
      <c r="S24" s="21" t="str">
        <f aca="false">INDEX(Products!$I$2:$I$29,MATCH($E24,Products!$A$2:$A$29,0))</f>
        <v>1 pack</v>
      </c>
      <c r="T24" s="18" t="n">
        <f aca="false">IF(H24="Yes",Config!$B$5,"")</f>
        <v>75</v>
      </c>
      <c r="U24" s="21" t="str">
        <f aca="false">INDEX(Products!$J$2:$J$29,MATCH($E24,Products!$A$2:$A$29,0))</f>
        <v>No</v>
      </c>
      <c r="V24" s="18" t="s">
        <v>394</v>
      </c>
    </row>
    <row r="25" customFormat="false" ht="15" hidden="false" customHeight="true" outlineLevel="0" collapsed="false">
      <c r="A25" s="18" t="s">
        <v>422</v>
      </c>
      <c r="B25" s="18" t="s">
        <v>117</v>
      </c>
      <c r="C25" s="21" t="str">
        <f aca="false">INDEX(Locations!$B$2:$B$9,MATCH($B25,Locations!$A$2:$A$9,0))</f>
        <v>The Atrium</v>
      </c>
      <c r="D25" s="21" t="str">
        <f aca="false">INDEX(Locations!$C$2:$C$9,MATCH($B25,Locations!$A$2:$A$9,0))</f>
        <v>College Avenue</v>
      </c>
      <c r="E25" s="18" t="s">
        <v>351</v>
      </c>
      <c r="F25" s="21" t="str">
        <f aca="false">INDEX(Products!$B$2:$B$29,MATCH($E25,Products!$A$2:$A$29,0))</f>
        <v>ThermaCare Heat Wrap</v>
      </c>
      <c r="G25" s="21" t="str">
        <f aca="false">INDEX(Products!$C$2:$C$29,MATCH($E25,Products!$A$2:$A$29,0))</f>
        <v>First aid &amp; comfort</v>
      </c>
      <c r="H25" s="18" t="s">
        <v>123</v>
      </c>
      <c r="I25" s="18" t="s">
        <v>413</v>
      </c>
      <c r="J25" s="18" t="str">
        <f aca="false">IF(H25="No","-",IF(I25="Available","Good supply",IF(I25="Low stock","Few left",IF(I25="Out of stock","None",IF(I25="Temporarily unavailable","Unavailable","Unknown")))))</f>
        <v>Unknown</v>
      </c>
      <c r="K25" s="18" t="s">
        <v>409</v>
      </c>
      <c r="L25" s="22"/>
      <c r="M25" s="18" t="str">
        <f aca="false">IF(L25="","",ROUND((Config!$B$2-L25)*1440,0))</f>
        <v/>
      </c>
      <c r="N25" s="18" t="str">
        <f aca="false">IF(K25="Staff verified",Config!$B$4,IF(OR(K25="Authorized student verified",K25="Multiple student reports",K25="Single student report"),Config!$B$3,""))</f>
        <v/>
      </c>
      <c r="O25" s="18" t="str">
        <f aca="false">IF(H25="No","n/a",IF(L25="","Unverified Data",IF(M25&gt;N25,"Stale report",K25)))</f>
        <v>Unverified Data</v>
      </c>
      <c r="P25" s="18" t="str">
        <f aca="false">IF(AND(H25="Yes",OR(I25="Available",I25="Low stock")),IF(O25="Stale report","Verify first","Yes"),"No")</f>
        <v>No</v>
      </c>
      <c r="Q25" s="18" t="str">
        <f aca="false">IF(H25="Yes","proposed_pending_approval","n/a")</f>
        <v>proposed_pending_approval</v>
      </c>
      <c r="R25" s="18" t="str">
        <f aca="false">IF(H25="Yes","Retail swipe (proposed) / RU Express / Cash or card","n/a")</f>
        <v>Retail swipe (proposed) / RU Express / Cash or card</v>
      </c>
      <c r="S25" s="21" t="str">
        <f aca="false">INDEX(Products!$I$2:$I$29,MATCH($E25,Products!$A$2:$A$29,0))</f>
        <v>1 package</v>
      </c>
      <c r="T25" s="18" t="n">
        <f aca="false">IF(H25="Yes",Config!$B$5,"")</f>
        <v>75</v>
      </c>
      <c r="U25" s="21" t="str">
        <f aca="false">INDEX(Products!$J$2:$J$29,MATCH($E25,Products!$A$2:$A$29,0))</f>
        <v>No</v>
      </c>
      <c r="V25" s="18" t="s">
        <v>394</v>
      </c>
    </row>
    <row r="26" customFormat="false" ht="15" hidden="false" customHeight="true" outlineLevel="0" collapsed="false">
      <c r="A26" s="18" t="s">
        <v>423</v>
      </c>
      <c r="B26" s="18" t="s">
        <v>117</v>
      </c>
      <c r="C26" s="21" t="str">
        <f aca="false">INDEX(Locations!$B$2:$B$9,MATCH($B26,Locations!$A$2:$A$9,0))</f>
        <v>The Atrium</v>
      </c>
      <c r="D26" s="21" t="str">
        <f aca="false">INDEX(Locations!$C$2:$C$9,MATCH($B26,Locations!$A$2:$A$9,0))</f>
        <v>College Avenue</v>
      </c>
      <c r="E26" s="18" t="s">
        <v>356</v>
      </c>
      <c r="F26" s="21" t="str">
        <f aca="false">INDEX(Products!$B$2:$B$29,MATCH($E26,Products!$A$2:$A$29,0))</f>
        <v>Always Ultra Thin Pads</v>
      </c>
      <c r="G26" s="21" t="str">
        <f aca="false">INDEX(Products!$C$2:$C$29,MATCH($E26,Products!$A$2:$A$29,0))</f>
        <v>Menstrual &amp; hygiene</v>
      </c>
      <c r="H26" s="18" t="s">
        <v>123</v>
      </c>
      <c r="I26" s="18" t="s">
        <v>413</v>
      </c>
      <c r="J26" s="18" t="str">
        <f aca="false">IF(H26="No","-",IF(I26="Available","Good supply",IF(I26="Low stock","Few left",IF(I26="Out of stock","None",IF(I26="Temporarily unavailable","Unavailable","Unknown")))))</f>
        <v>Unknown</v>
      </c>
      <c r="K26" s="18" t="s">
        <v>409</v>
      </c>
      <c r="L26" s="22"/>
      <c r="M26" s="18" t="str">
        <f aca="false">IF(L26="","",ROUND((Config!$B$2-L26)*1440,0))</f>
        <v/>
      </c>
      <c r="N26" s="18" t="str">
        <f aca="false">IF(K26="Staff verified",Config!$B$4,IF(OR(K26="Authorized student verified",K26="Multiple student reports",K26="Single student report"),Config!$B$3,""))</f>
        <v/>
      </c>
      <c r="O26" s="18" t="str">
        <f aca="false">IF(H26="No","n/a",IF(L26="","Unverified Data",IF(M26&gt;N26,"Stale report",K26)))</f>
        <v>Unverified Data</v>
      </c>
      <c r="P26" s="18" t="str">
        <f aca="false">IF(AND(H26="Yes",OR(I26="Available",I26="Low stock")),IF(O26="Stale report","Verify first","Yes"),"No")</f>
        <v>No</v>
      </c>
      <c r="Q26" s="18" t="str">
        <f aca="false">IF(H26="Yes","proposed_pending_approval","n/a")</f>
        <v>proposed_pending_approval</v>
      </c>
      <c r="R26" s="18" t="str">
        <f aca="false">IF(H26="Yes","Retail swipe (proposed) / RU Express / Cash or card","n/a")</f>
        <v>Retail swipe (proposed) / RU Express / Cash or card</v>
      </c>
      <c r="S26" s="21" t="str">
        <f aca="false">INDEX(Products!$I$2:$I$29,MATCH($E26,Products!$A$2:$A$29,0))</f>
        <v>1 package</v>
      </c>
      <c r="T26" s="18" t="n">
        <f aca="false">IF(H26="Yes",Config!$B$5,"")</f>
        <v>75</v>
      </c>
      <c r="U26" s="21" t="str">
        <f aca="false">INDEX(Products!$J$2:$J$29,MATCH($E26,Products!$A$2:$A$29,0))</f>
        <v>No</v>
      </c>
      <c r="V26" s="18" t="s">
        <v>394</v>
      </c>
    </row>
    <row r="27" customFormat="false" ht="15" hidden="false" customHeight="true" outlineLevel="0" collapsed="false">
      <c r="A27" s="18" t="s">
        <v>424</v>
      </c>
      <c r="B27" s="18" t="s">
        <v>117</v>
      </c>
      <c r="C27" s="21" t="str">
        <f aca="false">INDEX(Locations!$B$2:$B$9,MATCH($B27,Locations!$A$2:$A$9,0))</f>
        <v>The Atrium</v>
      </c>
      <c r="D27" s="21" t="str">
        <f aca="false">INDEX(Locations!$C$2:$C$9,MATCH($B27,Locations!$A$2:$A$9,0))</f>
        <v>College Avenue</v>
      </c>
      <c r="E27" s="18" t="s">
        <v>363</v>
      </c>
      <c r="F27" s="21" t="str">
        <f aca="false">INDEX(Products!$B$2:$B$29,MATCH($E27,Products!$A$2:$A$29,0))</f>
        <v>Tampax Pearl Tampons</v>
      </c>
      <c r="G27" s="21" t="str">
        <f aca="false">INDEX(Products!$C$2:$C$29,MATCH($E27,Products!$A$2:$A$29,0))</f>
        <v>Menstrual &amp; hygiene</v>
      </c>
      <c r="H27" s="18" t="s">
        <v>123</v>
      </c>
      <c r="I27" s="18" t="s">
        <v>392</v>
      </c>
      <c r="J27" s="18" t="str">
        <f aca="false">IF(H27="No","-",IF(I27="Available","Good supply",IF(I27="Low stock","Few left",IF(I27="Out of stock","None",IF(I27="Temporarily unavailable","Unavailable","Unknown")))))</f>
        <v>Good supply</v>
      </c>
      <c r="K27" s="18" t="s">
        <v>397</v>
      </c>
      <c r="L27" s="22" t="n">
        <v>46308.5972222222</v>
      </c>
      <c r="M27" s="18" t="n">
        <f aca="false">IF(L27="","",ROUND((Config!$B$2-L27)*1440,0))</f>
        <v>40</v>
      </c>
      <c r="N27" s="18" t="str">
        <f aca="false">IF(K27="Staff verified",Config!$B$4,IF(OR(K27="Authorized student verified",K27="Multiple student reports",K27="Single student report"),Config!$B$3,""))</f>
        <v/>
      </c>
      <c r="O27" s="18" t="str">
        <f aca="false">IF(H27="No","n/a",IF(L27="","Unverified Data",IF(M27&gt;N27,"Stale report",K27)))</f>
        <v>Verified student report</v>
      </c>
      <c r="P27" s="18" t="str">
        <f aca="false">IF(AND(H27="Yes",OR(I27="Available",I27="Low stock")),IF(O27="Stale report","Verify first","Yes"),"No")</f>
        <v>Yes</v>
      </c>
      <c r="Q27" s="18" t="str">
        <f aca="false">IF(H27="Yes","proposed_pending_approval","n/a")</f>
        <v>proposed_pending_approval</v>
      </c>
      <c r="R27" s="18" t="str">
        <f aca="false">IF(H27="Yes","Retail swipe (proposed) / RU Express / Cash or card","n/a")</f>
        <v>Retail swipe (proposed) / RU Express / Cash or card</v>
      </c>
      <c r="S27" s="21" t="str">
        <f aca="false">INDEX(Products!$I$2:$I$29,MATCH($E27,Products!$A$2:$A$29,0))</f>
        <v>1 package</v>
      </c>
      <c r="T27" s="18" t="n">
        <f aca="false">IF(H27="Yes",Config!$B$5,"")</f>
        <v>75</v>
      </c>
      <c r="U27" s="21" t="str">
        <f aca="false">INDEX(Products!$J$2:$J$29,MATCH($E27,Products!$A$2:$A$29,0))</f>
        <v>No</v>
      </c>
      <c r="V27" s="18" t="s">
        <v>394</v>
      </c>
    </row>
    <row r="28" customFormat="false" ht="15" hidden="false" customHeight="true" outlineLevel="0" collapsed="false">
      <c r="A28" s="18" t="s">
        <v>425</v>
      </c>
      <c r="B28" s="18" t="s">
        <v>117</v>
      </c>
      <c r="C28" s="21" t="str">
        <f aca="false">INDEX(Locations!$B$2:$B$9,MATCH($B28,Locations!$A$2:$A$9,0))</f>
        <v>The Atrium</v>
      </c>
      <c r="D28" s="21" t="str">
        <f aca="false">INDEX(Locations!$C$2:$C$9,MATCH($B28,Locations!$A$2:$A$9,0))</f>
        <v>College Avenue</v>
      </c>
      <c r="E28" s="18" t="s">
        <v>368</v>
      </c>
      <c r="F28" s="21" t="str">
        <f aca="false">INDEX(Products!$B$2:$B$29,MATCH($E28,Products!$A$2:$A$29,0))</f>
        <v>Purell Advanced Hand Sanitizer</v>
      </c>
      <c r="G28" s="21" t="str">
        <f aca="false">INDEX(Products!$C$2:$C$29,MATCH($E28,Products!$A$2:$A$29,0))</f>
        <v>Menstrual &amp; hygiene</v>
      </c>
      <c r="H28" s="18" t="s">
        <v>123</v>
      </c>
      <c r="I28" s="18" t="s">
        <v>392</v>
      </c>
      <c r="J28" s="18" t="str">
        <f aca="false">IF(H28="No","-",IF(I28="Available","Good supply",IF(I28="Low stock","Few left",IF(I28="Out of stock","None",IF(I28="Temporarily unavailable","Unavailable","Unknown")))))</f>
        <v>Good supply</v>
      </c>
      <c r="K28" s="18" t="s">
        <v>393</v>
      </c>
      <c r="L28" s="22" t="n">
        <v>46308.6118055556</v>
      </c>
      <c r="M28" s="18" t="n">
        <f aca="false">IF(L28="","",ROUND((Config!$B$2-L28)*1440,0))</f>
        <v>19</v>
      </c>
      <c r="N28" s="18" t="n">
        <f aca="false">IF(K28="Staff verified",Config!$B$4,IF(OR(K28="Authorized student verified",K28="Multiple student reports",K28="Single student report"),Config!$B$3,""))</f>
        <v>240</v>
      </c>
      <c r="O28" s="18" t="str">
        <f aca="false">IF(H28="No","n/a",IF(L28="","Unverified Data",IF(M28&gt;N28,"Stale report",K28)))</f>
        <v>Staff verified</v>
      </c>
      <c r="P28" s="18" t="str">
        <f aca="false">IF(AND(H28="Yes",OR(I28="Available",I28="Low stock")),IF(O28="Stale report","Verify first","Yes"),"No")</f>
        <v>Yes</v>
      </c>
      <c r="Q28" s="18" t="str">
        <f aca="false">IF(H28="Yes","proposed_pending_approval","n/a")</f>
        <v>proposed_pending_approval</v>
      </c>
      <c r="R28" s="18" t="str">
        <f aca="false">IF(H28="Yes","Retail swipe (proposed) / RU Express / Cash or card","n/a")</f>
        <v>Retail swipe (proposed) / RU Express / Cash or card</v>
      </c>
      <c r="S28" s="21" t="str">
        <f aca="false">INDEX(Products!$I$2:$I$29,MATCH($E28,Products!$A$2:$A$29,0))</f>
        <v>1 bottle</v>
      </c>
      <c r="T28" s="18" t="n">
        <f aca="false">IF(H28="Yes",Config!$B$5,"")</f>
        <v>75</v>
      </c>
      <c r="U28" s="21" t="str">
        <f aca="false">INDEX(Products!$J$2:$J$29,MATCH($E28,Products!$A$2:$A$29,0))</f>
        <v>No</v>
      </c>
      <c r="V28" s="18" t="s">
        <v>394</v>
      </c>
    </row>
    <row r="29" customFormat="false" ht="15" hidden="false" customHeight="true" outlineLevel="0" collapsed="false">
      <c r="A29" s="18" t="s">
        <v>426</v>
      </c>
      <c r="B29" s="18" t="s">
        <v>117</v>
      </c>
      <c r="C29" s="21" t="str">
        <f aca="false">INDEX(Locations!$B$2:$B$9,MATCH($B29,Locations!$A$2:$A$9,0))</f>
        <v>The Atrium</v>
      </c>
      <c r="D29" s="21" t="str">
        <f aca="false">INDEX(Locations!$C$2:$C$9,MATCH($B29,Locations!$A$2:$A$9,0))</f>
        <v>College Avenue</v>
      </c>
      <c r="E29" s="18" t="s">
        <v>374</v>
      </c>
      <c r="F29" s="21" t="str">
        <f aca="false">INDEX(Products!$B$2:$B$29,MATCH($E29,Products!$A$2:$A$29,0))</f>
        <v>Disposable face masks (brand varies)</v>
      </c>
      <c r="G29" s="21" t="str">
        <f aca="false">INDEX(Products!$C$2:$C$29,MATCH($E29,Products!$A$2:$A$29,0))</f>
        <v>Menstrual &amp; hygiene</v>
      </c>
      <c r="H29" s="18" t="s">
        <v>123</v>
      </c>
      <c r="I29" s="18" t="s">
        <v>392</v>
      </c>
      <c r="J29" s="18" t="str">
        <f aca="false">IF(H29="No","-",IF(I29="Available","Good supply",IF(I29="Low stock","Few left",IF(I29="Out of stock","None",IF(I29="Temporarily unavailable","Unavailable","Unknown")))))</f>
        <v>Good supply</v>
      </c>
      <c r="K29" s="18" t="s">
        <v>393</v>
      </c>
      <c r="L29" s="22" t="n">
        <v>46308.4284722222</v>
      </c>
      <c r="M29" s="18" t="n">
        <f aca="false">IF(L29="","",ROUND((Config!$B$2-L29)*1440,0))</f>
        <v>283</v>
      </c>
      <c r="N29" s="18" t="n">
        <f aca="false">IF(K29="Staff verified",Config!$B$4,IF(OR(K29="Authorized student verified",K29="Multiple student reports",K29="Single student report"),Config!$B$3,""))</f>
        <v>240</v>
      </c>
      <c r="O29" s="18" t="str">
        <f aca="false">IF(H29="No","n/a",IF(L29="","Unverified Data",IF(M29&gt;N29,"Stale report",K29)))</f>
        <v>Stale report</v>
      </c>
      <c r="P29" s="18" t="str">
        <f aca="false">IF(AND(H29="Yes",OR(I29="Available",I29="Low stock")),IF(O29="Stale report","Verify first","Yes"),"No")</f>
        <v>Verify first</v>
      </c>
      <c r="Q29" s="18" t="str">
        <f aca="false">IF(H29="Yes","proposed_pending_approval","n/a")</f>
        <v>proposed_pending_approval</v>
      </c>
      <c r="R29" s="18" t="str">
        <f aca="false">IF(H29="Yes","Retail swipe (proposed) / RU Express / Cash or card","n/a")</f>
        <v>Retail swipe (proposed) / RU Express / Cash or card</v>
      </c>
      <c r="S29" s="21" t="str">
        <f aca="false">INDEX(Products!$I$2:$I$29,MATCH($E29,Products!$A$2:$A$29,0))</f>
        <v>1 pack</v>
      </c>
      <c r="T29" s="18" t="n">
        <f aca="false">IF(H29="Yes",Config!$B$5,"")</f>
        <v>75</v>
      </c>
      <c r="U29" s="21" t="str">
        <f aca="false">INDEX(Products!$J$2:$J$29,MATCH($E29,Products!$A$2:$A$29,0))</f>
        <v>No</v>
      </c>
      <c r="V29" s="18" t="s">
        <v>394</v>
      </c>
    </row>
    <row r="30" customFormat="false" ht="15" hidden="false" customHeight="true" outlineLevel="0" collapsed="false">
      <c r="A30" s="18" t="s">
        <v>427</v>
      </c>
      <c r="B30" s="18" t="s">
        <v>136</v>
      </c>
      <c r="C30" s="21" t="str">
        <f aca="false">INDEX(Locations!$B$2:$B$9,MATCH($B30,Locations!$A$2:$A$9,0))</f>
        <v>Cafe West</v>
      </c>
      <c r="D30" s="21" t="str">
        <f aca="false">INDEX(Locations!$C$2:$C$9,MATCH($B30,Locations!$A$2:$A$9,0))</f>
        <v>College Avenue</v>
      </c>
      <c r="E30" s="18" t="s">
        <v>204</v>
      </c>
      <c r="F30" s="21" t="str">
        <f aca="false">INDEX(Products!$B$2:$B$29,MATCH($E30,Products!$A$2:$A$29,0))</f>
        <v>Tylenol Extra Strength</v>
      </c>
      <c r="G30" s="21" t="str">
        <f aca="false">INDEX(Products!$C$2:$C$29,MATCH($E30,Products!$A$2:$A$29,0))</f>
        <v>Pain &amp; fever</v>
      </c>
      <c r="H30" s="18" t="s">
        <v>123</v>
      </c>
      <c r="I30" s="18" t="s">
        <v>404</v>
      </c>
      <c r="J30" s="18" t="str">
        <f aca="false">IF(H30="No","-",IF(I30="Available","Good supply",IF(I30="Low stock","Few left",IF(I30="Out of stock","None",IF(I30="Temporarily unavailable","Unavailable","Unknown")))))</f>
        <v>Few left</v>
      </c>
      <c r="K30" s="18" t="s">
        <v>393</v>
      </c>
      <c r="L30" s="22" t="n">
        <v>46308.6041666667</v>
      </c>
      <c r="M30" s="18" t="n">
        <f aca="false">IF(L30="","",ROUND((Config!$B$2-L30)*1440,0))</f>
        <v>30</v>
      </c>
      <c r="N30" s="18" t="n">
        <f aca="false">IF(K30="Staff verified",Config!$B$4,IF(OR(K30="Authorized student verified",K30="Multiple student reports",K30="Single student report"),Config!$B$3,""))</f>
        <v>240</v>
      </c>
      <c r="O30" s="18" t="str">
        <f aca="false">IF(H30="No","n/a",IF(L30="","Unverified Data",IF(M30&gt;N30,"Stale report",K30)))</f>
        <v>Staff verified</v>
      </c>
      <c r="P30" s="18" t="str">
        <f aca="false">IF(AND(H30="Yes",OR(I30="Available",I30="Low stock")),IF(O30="Stale report","Verify first","Yes"),"No")</f>
        <v>Yes</v>
      </c>
      <c r="Q30" s="18" t="str">
        <f aca="false">IF(H30="Yes","proposed_pending_approval","n/a")</f>
        <v>proposed_pending_approval</v>
      </c>
      <c r="R30" s="18" t="str">
        <f aca="false">IF(H30="Yes","Retail swipe (proposed) / RU Express / Cash or card","n/a")</f>
        <v>Retail swipe (proposed) / RU Express / Cash or card</v>
      </c>
      <c r="S30" s="21" t="str">
        <f aca="false">INDEX(Products!$I$2:$I$29,MATCH($E30,Products!$A$2:$A$29,0))</f>
        <v>1 package</v>
      </c>
      <c r="T30" s="18" t="n">
        <f aca="false">IF(H30="Yes",Config!$B$5,"")</f>
        <v>75</v>
      </c>
      <c r="U30" s="21" t="str">
        <f aca="false">INDEX(Products!$J$2:$J$29,MATCH($E30,Products!$A$2:$A$29,0))</f>
        <v>No</v>
      </c>
      <c r="V30" s="18" t="s">
        <v>394</v>
      </c>
    </row>
    <row r="31" customFormat="false" ht="15" hidden="false" customHeight="true" outlineLevel="0" collapsed="false">
      <c r="A31" s="18" t="s">
        <v>428</v>
      </c>
      <c r="B31" s="18" t="s">
        <v>136</v>
      </c>
      <c r="C31" s="21" t="str">
        <f aca="false">INDEX(Locations!$B$2:$B$9,MATCH($B31,Locations!$A$2:$A$9,0))</f>
        <v>Cafe West</v>
      </c>
      <c r="D31" s="21" t="str">
        <f aca="false">INDEX(Locations!$C$2:$C$9,MATCH($B31,Locations!$A$2:$A$9,0))</f>
        <v>College Avenue</v>
      </c>
      <c r="E31" s="18" t="s">
        <v>215</v>
      </c>
      <c r="F31" s="21" t="str">
        <f aca="false">INDEX(Products!$B$2:$B$29,MATCH($E31,Products!$A$2:$A$29,0))</f>
        <v>Advil</v>
      </c>
      <c r="G31" s="21" t="str">
        <f aca="false">INDEX(Products!$C$2:$C$29,MATCH($E31,Products!$A$2:$A$29,0))</f>
        <v>Pain &amp; fever</v>
      </c>
      <c r="H31" s="18" t="s">
        <v>123</v>
      </c>
      <c r="I31" s="18" t="s">
        <v>396</v>
      </c>
      <c r="J31" s="18" t="str">
        <f aca="false">IF(H31="No","-",IF(I31="Available","Good supply",IF(I31="Low stock","Few left",IF(I31="Out of stock","None",IF(I31="Temporarily unavailable","Unavailable","Unknown")))))</f>
        <v>None</v>
      </c>
      <c r="K31" s="18" t="s">
        <v>397</v>
      </c>
      <c r="L31" s="22" t="n">
        <v>46308.6111111111</v>
      </c>
      <c r="M31" s="18" t="n">
        <f aca="false">IF(L31="","",ROUND((Config!$B$2-L31)*1440,0))</f>
        <v>20</v>
      </c>
      <c r="N31" s="18" t="str">
        <f aca="false">IF(K31="Staff verified",Config!$B$4,IF(OR(K31="Authorized student verified",K31="Multiple student reports",K31="Single student report"),Config!$B$3,""))</f>
        <v/>
      </c>
      <c r="O31" s="18" t="str">
        <f aca="false">IF(H31="No","n/a",IF(L31="","Unverified Data",IF(M31&gt;N31,"Stale report",K31)))</f>
        <v>Verified student report</v>
      </c>
      <c r="P31" s="18" t="str">
        <f aca="false">IF(AND(H31="Yes",OR(I31="Available",I31="Low stock")),IF(O31="Stale report","Verify first","Yes"),"No")</f>
        <v>No</v>
      </c>
      <c r="Q31" s="18" t="str">
        <f aca="false">IF(H31="Yes","proposed_pending_approval","n/a")</f>
        <v>proposed_pending_approval</v>
      </c>
      <c r="R31" s="18" t="str">
        <f aca="false">IF(H31="Yes","Retail swipe (proposed) / RU Express / Cash or card","n/a")</f>
        <v>Retail swipe (proposed) / RU Express / Cash or card</v>
      </c>
      <c r="S31" s="21" t="str">
        <f aca="false">INDEX(Products!$I$2:$I$29,MATCH($E31,Products!$A$2:$A$29,0))</f>
        <v>1 package</v>
      </c>
      <c r="T31" s="18" t="n">
        <f aca="false">IF(H31="Yes",Config!$B$5,"")</f>
        <v>75</v>
      </c>
      <c r="U31" s="21" t="str">
        <f aca="false">INDEX(Products!$J$2:$J$29,MATCH($E31,Products!$A$2:$A$29,0))</f>
        <v>No</v>
      </c>
      <c r="V31" s="18" t="s">
        <v>394</v>
      </c>
    </row>
    <row r="32" customFormat="false" ht="15" hidden="false" customHeight="true" outlineLevel="0" collapsed="false">
      <c r="A32" s="18" t="s">
        <v>429</v>
      </c>
      <c r="B32" s="18" t="s">
        <v>136</v>
      </c>
      <c r="C32" s="21" t="str">
        <f aca="false">INDEX(Locations!$B$2:$B$9,MATCH($B32,Locations!$A$2:$A$9,0))</f>
        <v>Cafe West</v>
      </c>
      <c r="D32" s="21" t="str">
        <f aca="false">INDEX(Locations!$C$2:$C$9,MATCH($B32,Locations!$A$2:$A$9,0))</f>
        <v>College Avenue</v>
      </c>
      <c r="E32" s="18" t="s">
        <v>220</v>
      </c>
      <c r="F32" s="21" t="str">
        <f aca="false">INDEX(Products!$B$2:$B$29,MATCH($E32,Products!$A$2:$A$29,0))</f>
        <v>Aleve</v>
      </c>
      <c r="G32" s="21" t="str">
        <f aca="false">INDEX(Products!$C$2:$C$29,MATCH($E32,Products!$A$2:$A$29,0))</f>
        <v>Pain &amp; fever</v>
      </c>
      <c r="H32" s="18" t="s">
        <v>123</v>
      </c>
      <c r="I32" s="18" t="s">
        <v>392</v>
      </c>
      <c r="J32" s="18" t="str">
        <f aca="false">IF(H32="No","-",IF(I32="Available","Good supply",IF(I32="Low stock","Few left",IF(I32="Out of stock","None",IF(I32="Temporarily unavailable","Unavailable","Unknown")))))</f>
        <v>Good supply</v>
      </c>
      <c r="K32" s="18" t="s">
        <v>409</v>
      </c>
      <c r="L32" s="22"/>
      <c r="M32" s="18" t="str">
        <f aca="false">IF(L32="","",ROUND((Config!$B$2-L32)*1440,0))</f>
        <v/>
      </c>
      <c r="N32" s="18" t="str">
        <f aca="false">IF(K32="Staff verified",Config!$B$4,IF(OR(K32="Authorized student verified",K32="Multiple student reports",K32="Single student report"),Config!$B$3,""))</f>
        <v/>
      </c>
      <c r="O32" s="18" t="str">
        <f aca="false">IF(H32="No","n/a",IF(L32="","Unverified Data",IF(M32&gt;N32,"Stale report",K32)))</f>
        <v>Unverified Data</v>
      </c>
      <c r="P32" s="18" t="str">
        <f aca="false">IF(AND(H32="Yes",OR(I32="Available",I32="Low stock")),IF(O32="Stale report","Verify first","Yes"),"No")</f>
        <v>Yes</v>
      </c>
      <c r="Q32" s="18" t="str">
        <f aca="false">IF(H32="Yes","proposed_pending_approval","n/a")</f>
        <v>proposed_pending_approval</v>
      </c>
      <c r="R32" s="18" t="str">
        <f aca="false">IF(H32="Yes","Retail swipe (proposed) / RU Express / Cash or card","n/a")</f>
        <v>Retail swipe (proposed) / RU Express / Cash or card</v>
      </c>
      <c r="S32" s="21" t="str">
        <f aca="false">INDEX(Products!$I$2:$I$29,MATCH($E32,Products!$A$2:$A$29,0))</f>
        <v>1 package</v>
      </c>
      <c r="T32" s="18" t="n">
        <f aca="false">IF(H32="Yes",Config!$B$5,"")</f>
        <v>75</v>
      </c>
      <c r="U32" s="21" t="str">
        <f aca="false">INDEX(Products!$J$2:$J$29,MATCH($E32,Products!$A$2:$A$29,0))</f>
        <v>No</v>
      </c>
      <c r="V32" s="18" t="s">
        <v>394</v>
      </c>
    </row>
    <row r="33" customFormat="false" ht="15" hidden="false" customHeight="true" outlineLevel="0" collapsed="false">
      <c r="A33" s="18" t="s">
        <v>430</v>
      </c>
      <c r="B33" s="18" t="s">
        <v>136</v>
      </c>
      <c r="C33" s="21" t="str">
        <f aca="false">INDEX(Locations!$B$2:$B$9,MATCH($B33,Locations!$A$2:$A$9,0))</f>
        <v>Cafe West</v>
      </c>
      <c r="D33" s="21" t="str">
        <f aca="false">INDEX(Locations!$C$2:$C$9,MATCH($B33,Locations!$A$2:$A$9,0))</f>
        <v>College Avenue</v>
      </c>
      <c r="E33" s="18" t="s">
        <v>226</v>
      </c>
      <c r="F33" s="21" t="str">
        <f aca="false">INDEX(Products!$B$2:$B$29,MATCH($E33,Products!$A$2:$A$29,0))</f>
        <v>Excedrin Migraine</v>
      </c>
      <c r="G33" s="21" t="str">
        <f aca="false">INDEX(Products!$C$2:$C$29,MATCH($E33,Products!$A$2:$A$29,0))</f>
        <v>Pain &amp; fever</v>
      </c>
      <c r="H33" s="18" t="s">
        <v>123</v>
      </c>
      <c r="I33" s="18" t="s">
        <v>392</v>
      </c>
      <c r="J33" s="18" t="str">
        <f aca="false">IF(H33="No","-",IF(I33="Available","Good supply",IF(I33="Low stock","Few left",IF(I33="Out of stock","None",IF(I33="Temporarily unavailable","Unavailable","Unknown")))))</f>
        <v>Good supply</v>
      </c>
      <c r="K33" s="18" t="s">
        <v>397</v>
      </c>
      <c r="L33" s="22" t="n">
        <v>46308.5875</v>
      </c>
      <c r="M33" s="18" t="n">
        <f aca="false">IF(L33="","",ROUND((Config!$B$2-L33)*1440,0))</f>
        <v>54</v>
      </c>
      <c r="N33" s="18" t="str">
        <f aca="false">IF(K33="Staff verified",Config!$B$4,IF(OR(K33="Authorized student verified",K33="Multiple student reports",K33="Single student report"),Config!$B$3,""))</f>
        <v/>
      </c>
      <c r="O33" s="18" t="str">
        <f aca="false">IF(H33="No","n/a",IF(L33="","Unverified Data",IF(M33&gt;N33,"Stale report",K33)))</f>
        <v>Verified student report</v>
      </c>
      <c r="P33" s="18" t="str">
        <f aca="false">IF(AND(H33="Yes",OR(I33="Available",I33="Low stock")),IF(O33="Stale report","Verify first","Yes"),"No")</f>
        <v>Yes</v>
      </c>
      <c r="Q33" s="18" t="str">
        <f aca="false">IF(H33="Yes","proposed_pending_approval","n/a")</f>
        <v>proposed_pending_approval</v>
      </c>
      <c r="R33" s="18" t="str">
        <f aca="false">IF(H33="Yes","Retail swipe (proposed) / RU Express / Cash or card","n/a")</f>
        <v>Retail swipe (proposed) / RU Express / Cash or card</v>
      </c>
      <c r="S33" s="21" t="str">
        <f aca="false">INDEX(Products!$I$2:$I$29,MATCH($E33,Products!$A$2:$A$29,0))</f>
        <v>1 package</v>
      </c>
      <c r="T33" s="18" t="n">
        <f aca="false">IF(H33="Yes",Config!$B$5,"")</f>
        <v>75</v>
      </c>
      <c r="U33" s="21" t="str">
        <f aca="false">INDEX(Products!$J$2:$J$29,MATCH($E33,Products!$A$2:$A$29,0))</f>
        <v>No</v>
      </c>
      <c r="V33" s="18" t="s">
        <v>394</v>
      </c>
    </row>
    <row r="34" customFormat="false" ht="15" hidden="false" customHeight="true" outlineLevel="0" collapsed="false">
      <c r="A34" s="18" t="s">
        <v>431</v>
      </c>
      <c r="B34" s="18" t="s">
        <v>136</v>
      </c>
      <c r="C34" s="21" t="str">
        <f aca="false">INDEX(Locations!$B$2:$B$9,MATCH($B34,Locations!$A$2:$A$9,0))</f>
        <v>Cafe West</v>
      </c>
      <c r="D34" s="21" t="str">
        <f aca="false">INDEX(Locations!$C$2:$C$9,MATCH($B34,Locations!$A$2:$A$9,0))</f>
        <v>College Avenue</v>
      </c>
      <c r="E34" s="18" t="s">
        <v>232</v>
      </c>
      <c r="F34" s="21" t="str">
        <f aca="false">INDEX(Products!$B$2:$B$29,MATCH($E34,Products!$A$2:$A$29,0))</f>
        <v>Halls Mentho-Lyptus</v>
      </c>
      <c r="G34" s="21" t="str">
        <f aca="false">INDEX(Products!$C$2:$C$29,MATCH($E34,Products!$A$2:$A$29,0))</f>
        <v>Cold &amp; cough</v>
      </c>
      <c r="H34" s="18" t="s">
        <v>123</v>
      </c>
      <c r="I34" s="18" t="s">
        <v>413</v>
      </c>
      <c r="J34" s="18" t="str">
        <f aca="false">IF(H34="No","-",IF(I34="Available","Good supply",IF(I34="Low stock","Few left",IF(I34="Out of stock","None",IF(I34="Temporarily unavailable","Unavailable","Unknown")))))</f>
        <v>Unknown</v>
      </c>
      <c r="K34" s="18" t="s">
        <v>409</v>
      </c>
      <c r="L34" s="22"/>
      <c r="M34" s="18" t="str">
        <f aca="false">IF(L34="","",ROUND((Config!$B$2-L34)*1440,0))</f>
        <v/>
      </c>
      <c r="N34" s="18" t="str">
        <f aca="false">IF(K34="Staff verified",Config!$B$4,IF(OR(K34="Authorized student verified",K34="Multiple student reports",K34="Single student report"),Config!$B$3,""))</f>
        <v/>
      </c>
      <c r="O34" s="18" t="str">
        <f aca="false">IF(H34="No","n/a",IF(L34="","Unverified Data",IF(M34&gt;N34,"Stale report",K34)))</f>
        <v>Unverified Data</v>
      </c>
      <c r="P34" s="18" t="str">
        <f aca="false">IF(AND(H34="Yes",OR(I34="Available",I34="Low stock")),IF(O34="Stale report","Verify first","Yes"),"No")</f>
        <v>No</v>
      </c>
      <c r="Q34" s="18" t="str">
        <f aca="false">IF(H34="Yes","proposed_pending_approval","n/a")</f>
        <v>proposed_pending_approval</v>
      </c>
      <c r="R34" s="18" t="str">
        <f aca="false">IF(H34="Yes","Retail swipe (proposed) / RU Express / Cash or card","n/a")</f>
        <v>Retail swipe (proposed) / RU Express / Cash or card</v>
      </c>
      <c r="S34" s="21" t="str">
        <f aca="false">INDEX(Products!$I$2:$I$29,MATCH($E34,Products!$A$2:$A$29,0))</f>
        <v>2 bags</v>
      </c>
      <c r="T34" s="18" t="n">
        <f aca="false">IF(H34="Yes",Config!$B$5,"")</f>
        <v>75</v>
      </c>
      <c r="U34" s="21" t="str">
        <f aca="false">INDEX(Products!$J$2:$J$29,MATCH($E34,Products!$A$2:$A$29,0))</f>
        <v>No</v>
      </c>
      <c r="V34" s="18" t="s">
        <v>394</v>
      </c>
    </row>
    <row r="35" customFormat="false" ht="15" hidden="false" customHeight="true" outlineLevel="0" collapsed="false">
      <c r="A35" s="18" t="s">
        <v>432</v>
      </c>
      <c r="B35" s="18" t="s">
        <v>136</v>
      </c>
      <c r="C35" s="21" t="str">
        <f aca="false">INDEX(Locations!$B$2:$B$9,MATCH($B35,Locations!$A$2:$A$9,0))</f>
        <v>Cafe West</v>
      </c>
      <c r="D35" s="21" t="str">
        <f aca="false">INDEX(Locations!$C$2:$C$9,MATCH($B35,Locations!$A$2:$A$9,0))</f>
        <v>College Avenue</v>
      </c>
      <c r="E35" s="18" t="s">
        <v>240</v>
      </c>
      <c r="F35" s="21" t="str">
        <f aca="false">INDEX(Products!$B$2:$B$29,MATCH($E35,Products!$A$2:$A$29,0))</f>
        <v>Ricola Original Natural Herb</v>
      </c>
      <c r="G35" s="21" t="str">
        <f aca="false">INDEX(Products!$C$2:$C$29,MATCH($E35,Products!$A$2:$A$29,0))</f>
        <v>Cold &amp; cough</v>
      </c>
      <c r="H35" s="18" t="s">
        <v>123</v>
      </c>
      <c r="I35" s="18" t="s">
        <v>392</v>
      </c>
      <c r="J35" s="18" t="str">
        <f aca="false">IF(H35="No","-",IF(I35="Available","Good supply",IF(I35="Low stock","Few left",IF(I35="Out of stock","None",IF(I35="Temporarily unavailable","Unavailable","Unknown")))))</f>
        <v>Good supply</v>
      </c>
      <c r="K35" s="18" t="s">
        <v>393</v>
      </c>
      <c r="L35" s="22" t="n">
        <v>46308.5597222222</v>
      </c>
      <c r="M35" s="18" t="n">
        <f aca="false">IF(L35="","",ROUND((Config!$B$2-L35)*1440,0))</f>
        <v>94</v>
      </c>
      <c r="N35" s="18" t="n">
        <f aca="false">IF(K35="Staff verified",Config!$B$4,IF(OR(K35="Authorized student verified",K35="Multiple student reports",K35="Single student report"),Config!$B$3,""))</f>
        <v>240</v>
      </c>
      <c r="O35" s="18" t="str">
        <f aca="false">IF(H35="No","n/a",IF(L35="","Unverified Data",IF(M35&gt;N35,"Stale report",K35)))</f>
        <v>Staff verified</v>
      </c>
      <c r="P35" s="18" t="str">
        <f aca="false">IF(AND(H35="Yes",OR(I35="Available",I35="Low stock")),IF(O35="Stale report","Verify first","Yes"),"No")</f>
        <v>Yes</v>
      </c>
      <c r="Q35" s="18" t="str">
        <f aca="false">IF(H35="Yes","proposed_pending_approval","n/a")</f>
        <v>proposed_pending_approval</v>
      </c>
      <c r="R35" s="18" t="str">
        <f aca="false">IF(H35="Yes","Retail swipe (proposed) / RU Express / Cash or card","n/a")</f>
        <v>Retail swipe (proposed) / RU Express / Cash or card</v>
      </c>
      <c r="S35" s="21" t="str">
        <f aca="false">INDEX(Products!$I$2:$I$29,MATCH($E35,Products!$A$2:$A$29,0))</f>
        <v>2 bags</v>
      </c>
      <c r="T35" s="18" t="n">
        <f aca="false">IF(H35="Yes",Config!$B$5,"")</f>
        <v>75</v>
      </c>
      <c r="U35" s="21" t="str">
        <f aca="false">INDEX(Products!$J$2:$J$29,MATCH($E35,Products!$A$2:$A$29,0))</f>
        <v>No</v>
      </c>
      <c r="V35" s="18" t="s">
        <v>394</v>
      </c>
    </row>
    <row r="36" customFormat="false" ht="15" hidden="false" customHeight="true" outlineLevel="0" collapsed="false">
      <c r="A36" s="18" t="s">
        <v>433</v>
      </c>
      <c r="B36" s="18" t="s">
        <v>136</v>
      </c>
      <c r="C36" s="21" t="str">
        <f aca="false">INDEX(Locations!$B$2:$B$9,MATCH($B36,Locations!$A$2:$A$9,0))</f>
        <v>Cafe West</v>
      </c>
      <c r="D36" s="21" t="str">
        <f aca="false">INDEX(Locations!$C$2:$C$9,MATCH($B36,Locations!$A$2:$A$9,0))</f>
        <v>College Avenue</v>
      </c>
      <c r="E36" s="18" t="s">
        <v>245</v>
      </c>
      <c r="F36" s="21" t="str">
        <f aca="false">INDEX(Products!$B$2:$B$29,MATCH($E36,Products!$A$2:$A$29,0))</f>
        <v>Chloraseptic Sore Throat Spray</v>
      </c>
      <c r="G36" s="21" t="str">
        <f aca="false">INDEX(Products!$C$2:$C$29,MATCH($E36,Products!$A$2:$A$29,0))</f>
        <v>Cold &amp; cough</v>
      </c>
      <c r="H36" s="18" t="s">
        <v>123</v>
      </c>
      <c r="I36" s="18" t="s">
        <v>392</v>
      </c>
      <c r="J36" s="18" t="str">
        <f aca="false">IF(H36="No","-",IF(I36="Available","Good supply",IF(I36="Low stock","Few left",IF(I36="Out of stock","None",IF(I36="Temporarily unavailable","Unavailable","Unknown")))))</f>
        <v>Good supply</v>
      </c>
      <c r="K36" s="18" t="s">
        <v>397</v>
      </c>
      <c r="L36" s="22" t="n">
        <v>46308.5895833333</v>
      </c>
      <c r="M36" s="18" t="n">
        <f aca="false">IF(L36="","",ROUND((Config!$B$2-L36)*1440,0))</f>
        <v>51</v>
      </c>
      <c r="N36" s="18" t="str">
        <f aca="false">IF(K36="Staff verified",Config!$B$4,IF(OR(K36="Authorized student verified",K36="Multiple student reports",K36="Single student report"),Config!$B$3,""))</f>
        <v/>
      </c>
      <c r="O36" s="18" t="str">
        <f aca="false">IF(H36="No","n/a",IF(L36="","Unverified Data",IF(M36&gt;N36,"Stale report",K36)))</f>
        <v>Verified student report</v>
      </c>
      <c r="P36" s="18" t="str">
        <f aca="false">IF(AND(H36="Yes",OR(I36="Available",I36="Low stock")),IF(O36="Stale report","Verify first","Yes"),"No")</f>
        <v>Yes</v>
      </c>
      <c r="Q36" s="18" t="str">
        <f aca="false">IF(H36="Yes","proposed_pending_approval","n/a")</f>
        <v>proposed_pending_approval</v>
      </c>
      <c r="R36" s="18" t="str">
        <f aca="false">IF(H36="Yes","Retail swipe (proposed) / RU Express / Cash or card","n/a")</f>
        <v>Retail swipe (proposed) / RU Express / Cash or card</v>
      </c>
      <c r="S36" s="21" t="str">
        <f aca="false">INDEX(Products!$I$2:$I$29,MATCH($E36,Products!$A$2:$A$29,0))</f>
        <v>1 bottle</v>
      </c>
      <c r="T36" s="18" t="n">
        <f aca="false">IF(H36="Yes",Config!$B$5,"")</f>
        <v>75</v>
      </c>
      <c r="U36" s="21" t="str">
        <f aca="false">INDEX(Products!$J$2:$J$29,MATCH($E36,Products!$A$2:$A$29,0))</f>
        <v>No</v>
      </c>
      <c r="V36" s="18" t="s">
        <v>394</v>
      </c>
    </row>
    <row r="37" customFormat="false" ht="15" hidden="false" customHeight="true" outlineLevel="0" collapsed="false">
      <c r="A37" s="18" t="s">
        <v>434</v>
      </c>
      <c r="B37" s="18" t="s">
        <v>136</v>
      </c>
      <c r="C37" s="21" t="str">
        <f aca="false">INDEX(Locations!$B$2:$B$9,MATCH($B37,Locations!$A$2:$A$9,0))</f>
        <v>Cafe West</v>
      </c>
      <c r="D37" s="21" t="str">
        <f aca="false">INDEX(Locations!$C$2:$C$9,MATCH($B37,Locations!$A$2:$A$9,0))</f>
        <v>College Avenue</v>
      </c>
      <c r="E37" s="18" t="s">
        <v>251</v>
      </c>
      <c r="F37" s="21" t="str">
        <f aca="false">INDEX(Products!$B$2:$B$29,MATCH($E37,Products!$A$2:$A$29,0))</f>
        <v>Mucinex</v>
      </c>
      <c r="G37" s="21" t="str">
        <f aca="false">INDEX(Products!$C$2:$C$29,MATCH($E37,Products!$A$2:$A$29,0))</f>
        <v>Cold &amp; cough</v>
      </c>
      <c r="H37" s="18" t="s">
        <v>123</v>
      </c>
      <c r="I37" s="18" t="s">
        <v>404</v>
      </c>
      <c r="J37" s="18" t="str">
        <f aca="false">IF(H37="No","-",IF(I37="Available","Good supply",IF(I37="Low stock","Few left",IF(I37="Out of stock","None",IF(I37="Temporarily unavailable","Unavailable","Unknown")))))</f>
        <v>Few left</v>
      </c>
      <c r="K37" s="18" t="s">
        <v>397</v>
      </c>
      <c r="L37" s="22" t="n">
        <v>46308.5951388889</v>
      </c>
      <c r="M37" s="18" t="n">
        <f aca="false">IF(L37="","",ROUND((Config!$B$2-L37)*1440,0))</f>
        <v>43</v>
      </c>
      <c r="N37" s="18" t="str">
        <f aca="false">IF(K37="Staff verified",Config!$B$4,IF(OR(K37="Authorized student verified",K37="Multiple student reports",K37="Single student report"),Config!$B$3,""))</f>
        <v/>
      </c>
      <c r="O37" s="18" t="str">
        <f aca="false">IF(H37="No","n/a",IF(L37="","Unverified Data",IF(M37&gt;N37,"Stale report",K37)))</f>
        <v>Verified student report</v>
      </c>
      <c r="P37" s="18" t="str">
        <f aca="false">IF(AND(H37="Yes",OR(I37="Available",I37="Low stock")),IF(O37="Stale report","Verify first","Yes"),"No")</f>
        <v>Yes</v>
      </c>
      <c r="Q37" s="18" t="str">
        <f aca="false">IF(H37="Yes","proposed_pending_approval","n/a")</f>
        <v>proposed_pending_approval</v>
      </c>
      <c r="R37" s="18" t="str">
        <f aca="false">IF(H37="Yes","Retail swipe (proposed) / RU Express / Cash or card","n/a")</f>
        <v>Retail swipe (proposed) / RU Express / Cash or card</v>
      </c>
      <c r="S37" s="21" t="str">
        <f aca="false">INDEX(Products!$I$2:$I$29,MATCH($E37,Products!$A$2:$A$29,0))</f>
        <v>1 package</v>
      </c>
      <c r="T37" s="18" t="n">
        <f aca="false">IF(H37="Yes",Config!$B$5,"")</f>
        <v>75</v>
      </c>
      <c r="U37" s="21" t="str">
        <f aca="false">INDEX(Products!$J$2:$J$29,MATCH($E37,Products!$A$2:$A$29,0))</f>
        <v>No</v>
      </c>
      <c r="V37" s="18" t="s">
        <v>394</v>
      </c>
    </row>
    <row r="38" customFormat="false" ht="15" hidden="false" customHeight="true" outlineLevel="0" collapsed="false">
      <c r="A38" s="18" t="s">
        <v>435</v>
      </c>
      <c r="B38" s="18" t="s">
        <v>136</v>
      </c>
      <c r="C38" s="21" t="str">
        <f aca="false">INDEX(Locations!$B$2:$B$9,MATCH($B38,Locations!$A$2:$A$9,0))</f>
        <v>Cafe West</v>
      </c>
      <c r="D38" s="21" t="str">
        <f aca="false">INDEX(Locations!$C$2:$C$9,MATCH($B38,Locations!$A$2:$A$9,0))</f>
        <v>College Avenue</v>
      </c>
      <c r="E38" s="18" t="s">
        <v>257</v>
      </c>
      <c r="F38" s="21" t="str">
        <f aca="false">INDEX(Products!$B$2:$B$29,MATCH($E38,Products!$A$2:$A$29,0))</f>
        <v>Robitussin DM</v>
      </c>
      <c r="G38" s="21" t="str">
        <f aca="false">INDEX(Products!$C$2:$C$29,MATCH($E38,Products!$A$2:$A$29,0))</f>
        <v>Cold &amp; cough</v>
      </c>
      <c r="H38" s="18" t="s">
        <v>123</v>
      </c>
      <c r="I38" s="18" t="s">
        <v>404</v>
      </c>
      <c r="J38" s="18" t="str">
        <f aca="false">IF(H38="No","-",IF(I38="Available","Good supply",IF(I38="Low stock","Few left",IF(I38="Out of stock","None",IF(I38="Temporarily unavailable","Unavailable","Unknown")))))</f>
        <v>Few left</v>
      </c>
      <c r="K38" s="18" t="s">
        <v>397</v>
      </c>
      <c r="L38" s="22" t="n">
        <v>46308.6013888889</v>
      </c>
      <c r="M38" s="18" t="n">
        <f aca="false">IF(L38="","",ROUND((Config!$B$2-L38)*1440,0))</f>
        <v>34</v>
      </c>
      <c r="N38" s="18" t="str">
        <f aca="false">IF(K38="Staff verified",Config!$B$4,IF(OR(K38="Authorized student verified",K38="Multiple student reports",K38="Single student report"),Config!$B$3,""))</f>
        <v/>
      </c>
      <c r="O38" s="18" t="str">
        <f aca="false">IF(H38="No","n/a",IF(L38="","Unverified Data",IF(M38&gt;N38,"Stale report",K38)))</f>
        <v>Verified student report</v>
      </c>
      <c r="P38" s="18" t="str">
        <f aca="false">IF(AND(H38="Yes",OR(I38="Available",I38="Low stock")),IF(O38="Stale report","Verify first","Yes"),"No")</f>
        <v>Yes</v>
      </c>
      <c r="Q38" s="18" t="str">
        <f aca="false">IF(H38="Yes","proposed_pending_approval","n/a")</f>
        <v>proposed_pending_approval</v>
      </c>
      <c r="R38" s="18" t="str">
        <f aca="false">IF(H38="Yes","Retail swipe (proposed) / RU Express / Cash or card","n/a")</f>
        <v>Retail swipe (proposed) / RU Express / Cash or card</v>
      </c>
      <c r="S38" s="21" t="str">
        <f aca="false">INDEX(Products!$I$2:$I$29,MATCH($E38,Products!$A$2:$A$29,0))</f>
        <v>1 bottle</v>
      </c>
      <c r="T38" s="18" t="n">
        <f aca="false">IF(H38="Yes",Config!$B$5,"")</f>
        <v>75</v>
      </c>
      <c r="U38" s="21" t="str">
        <f aca="false">INDEX(Products!$J$2:$J$29,MATCH($E38,Products!$A$2:$A$29,0))</f>
        <v>No</v>
      </c>
      <c r="V38" s="18" t="s">
        <v>394</v>
      </c>
    </row>
    <row r="39" customFormat="false" ht="15" hidden="false" customHeight="true" outlineLevel="0" collapsed="false">
      <c r="A39" s="18" t="s">
        <v>436</v>
      </c>
      <c r="B39" s="18" t="s">
        <v>136</v>
      </c>
      <c r="C39" s="21" t="str">
        <f aca="false">INDEX(Locations!$B$2:$B$9,MATCH($B39,Locations!$A$2:$A$9,0))</f>
        <v>Cafe West</v>
      </c>
      <c r="D39" s="21" t="str">
        <f aca="false">INDEX(Locations!$C$2:$C$9,MATCH($B39,Locations!$A$2:$A$9,0))</f>
        <v>College Avenue</v>
      </c>
      <c r="E39" s="18" t="s">
        <v>263</v>
      </c>
      <c r="F39" s="21" t="str">
        <f aca="false">INDEX(Products!$B$2:$B$29,MATCH($E39,Products!$A$2:$A$29,0))</f>
        <v>Simply Saline Nasal Mist</v>
      </c>
      <c r="G39" s="21" t="str">
        <f aca="false">INDEX(Products!$C$2:$C$29,MATCH($E39,Products!$A$2:$A$29,0))</f>
        <v>Cold &amp; cough</v>
      </c>
      <c r="H39" s="18" t="s">
        <v>123</v>
      </c>
      <c r="I39" s="18" t="s">
        <v>392</v>
      </c>
      <c r="J39" s="18" t="str">
        <f aca="false">IF(H39="No","-",IF(I39="Available","Good supply",IF(I39="Low stock","Few left",IF(I39="Out of stock","None",IF(I39="Temporarily unavailable","Unavailable","Unknown")))))</f>
        <v>Good supply</v>
      </c>
      <c r="K39" s="18" t="s">
        <v>397</v>
      </c>
      <c r="L39" s="22" t="n">
        <v>46308.5888888889</v>
      </c>
      <c r="M39" s="18" t="n">
        <f aca="false">IF(L39="","",ROUND((Config!$B$2-L39)*1440,0))</f>
        <v>52</v>
      </c>
      <c r="N39" s="18" t="str">
        <f aca="false">IF(K39="Staff verified",Config!$B$4,IF(OR(K39="Authorized student verified",K39="Multiple student reports",K39="Single student report"),Config!$B$3,""))</f>
        <v/>
      </c>
      <c r="O39" s="18" t="str">
        <f aca="false">IF(H39="No","n/a",IF(L39="","Unverified Data",IF(M39&gt;N39,"Stale report",K39)))</f>
        <v>Verified student report</v>
      </c>
      <c r="P39" s="18" t="str">
        <f aca="false">IF(AND(H39="Yes",OR(I39="Available",I39="Low stock")),IF(O39="Stale report","Verify first","Yes"),"No")</f>
        <v>Yes</v>
      </c>
      <c r="Q39" s="18" t="str">
        <f aca="false">IF(H39="Yes","proposed_pending_approval","n/a")</f>
        <v>proposed_pending_approval</v>
      </c>
      <c r="R39" s="18" t="str">
        <f aca="false">IF(H39="Yes","Retail swipe (proposed) / RU Express / Cash or card","n/a")</f>
        <v>Retail swipe (proposed) / RU Express / Cash or card</v>
      </c>
      <c r="S39" s="21" t="str">
        <f aca="false">INDEX(Products!$I$2:$I$29,MATCH($E39,Products!$A$2:$A$29,0))</f>
        <v>1 bottle</v>
      </c>
      <c r="T39" s="18" t="n">
        <f aca="false">IF(H39="Yes",Config!$B$5,"")</f>
        <v>75</v>
      </c>
      <c r="U39" s="21" t="str">
        <f aca="false">INDEX(Products!$J$2:$J$29,MATCH($E39,Products!$A$2:$A$29,0))</f>
        <v>No</v>
      </c>
      <c r="V39" s="18" t="s">
        <v>394</v>
      </c>
    </row>
    <row r="40" customFormat="false" ht="15" hidden="false" customHeight="true" outlineLevel="0" collapsed="false">
      <c r="A40" s="18" t="s">
        <v>437</v>
      </c>
      <c r="B40" s="18" t="s">
        <v>136</v>
      </c>
      <c r="C40" s="21" t="str">
        <f aca="false">INDEX(Locations!$B$2:$B$9,MATCH($B40,Locations!$A$2:$A$9,0))</f>
        <v>Cafe West</v>
      </c>
      <c r="D40" s="21" t="str">
        <f aca="false">INDEX(Locations!$C$2:$C$9,MATCH($B40,Locations!$A$2:$A$9,0))</f>
        <v>College Avenue</v>
      </c>
      <c r="E40" s="18" t="s">
        <v>268</v>
      </c>
      <c r="F40" s="21" t="str">
        <f aca="false">INDEX(Products!$B$2:$B$29,MATCH($E40,Products!$A$2:$A$29,0))</f>
        <v>Claritin</v>
      </c>
      <c r="G40" s="21" t="str">
        <f aca="false">INDEX(Products!$C$2:$C$29,MATCH($E40,Products!$A$2:$A$29,0))</f>
        <v>Allergy</v>
      </c>
      <c r="H40" s="18" t="s">
        <v>123</v>
      </c>
      <c r="I40" s="18" t="s">
        <v>392</v>
      </c>
      <c r="J40" s="18" t="str">
        <f aca="false">IF(H40="No","-",IF(I40="Available","Good supply",IF(I40="Low stock","Few left",IF(I40="Out of stock","None",IF(I40="Temporarily unavailable","Unavailable","Unknown")))))</f>
        <v>Good supply</v>
      </c>
      <c r="K40" s="18" t="s">
        <v>397</v>
      </c>
      <c r="L40" s="22" t="n">
        <v>46308.5902777778</v>
      </c>
      <c r="M40" s="18" t="n">
        <f aca="false">IF(L40="","",ROUND((Config!$B$2-L40)*1440,0))</f>
        <v>50</v>
      </c>
      <c r="N40" s="18" t="str">
        <f aca="false">IF(K40="Staff verified",Config!$B$4,IF(OR(K40="Authorized student verified",K40="Multiple student reports",K40="Single student report"),Config!$B$3,""))</f>
        <v/>
      </c>
      <c r="O40" s="18" t="str">
        <f aca="false">IF(H40="No","n/a",IF(L40="","Unverified Data",IF(M40&gt;N40,"Stale report",K40)))</f>
        <v>Verified student report</v>
      </c>
      <c r="P40" s="18" t="str">
        <f aca="false">IF(AND(H40="Yes",OR(I40="Available",I40="Low stock")),IF(O40="Stale report","Verify first","Yes"),"No")</f>
        <v>Yes</v>
      </c>
      <c r="Q40" s="18" t="str">
        <f aca="false">IF(H40="Yes","proposed_pending_approval","n/a")</f>
        <v>proposed_pending_approval</v>
      </c>
      <c r="R40" s="18" t="str">
        <f aca="false">IF(H40="Yes","Retail swipe (proposed) / RU Express / Cash or card","n/a")</f>
        <v>Retail swipe (proposed) / RU Express / Cash or card</v>
      </c>
      <c r="S40" s="21" t="str">
        <f aca="false">INDEX(Products!$I$2:$I$29,MATCH($E40,Products!$A$2:$A$29,0))</f>
        <v>1 package</v>
      </c>
      <c r="T40" s="18" t="n">
        <f aca="false">IF(H40="Yes",Config!$B$5,"")</f>
        <v>75</v>
      </c>
      <c r="U40" s="21" t="str">
        <f aca="false">INDEX(Products!$J$2:$J$29,MATCH($E40,Products!$A$2:$A$29,0))</f>
        <v>No</v>
      </c>
      <c r="V40" s="18" t="s">
        <v>394</v>
      </c>
    </row>
    <row r="41" customFormat="false" ht="15" hidden="false" customHeight="true" outlineLevel="0" collapsed="false">
      <c r="A41" s="18" t="s">
        <v>438</v>
      </c>
      <c r="B41" s="18" t="s">
        <v>136</v>
      </c>
      <c r="C41" s="21" t="str">
        <f aca="false">INDEX(Locations!$B$2:$B$9,MATCH($B41,Locations!$A$2:$A$9,0))</f>
        <v>Cafe West</v>
      </c>
      <c r="D41" s="21" t="str">
        <f aca="false">INDEX(Locations!$C$2:$C$9,MATCH($B41,Locations!$A$2:$A$9,0))</f>
        <v>College Avenue</v>
      </c>
      <c r="E41" s="18" t="s">
        <v>275</v>
      </c>
      <c r="F41" s="21" t="str">
        <f aca="false">INDEX(Products!$B$2:$B$29,MATCH($E41,Products!$A$2:$A$29,0))</f>
        <v>Zyrtec</v>
      </c>
      <c r="G41" s="21" t="str">
        <f aca="false">INDEX(Products!$C$2:$C$29,MATCH($E41,Products!$A$2:$A$29,0))</f>
        <v>Allergy</v>
      </c>
      <c r="H41" s="18" t="s">
        <v>123</v>
      </c>
      <c r="I41" s="18" t="s">
        <v>392</v>
      </c>
      <c r="J41" s="18" t="str">
        <f aca="false">IF(H41="No","-",IF(I41="Available","Good supply",IF(I41="Low stock","Few left",IF(I41="Out of stock","None",IF(I41="Temporarily unavailable","Unavailable","Unknown")))))</f>
        <v>Good supply</v>
      </c>
      <c r="K41" s="18" t="s">
        <v>397</v>
      </c>
      <c r="L41" s="22" t="n">
        <v>46308.5083333333</v>
      </c>
      <c r="M41" s="18" t="n">
        <f aca="false">IF(L41="","",ROUND((Config!$B$2-L41)*1440,0))</f>
        <v>168</v>
      </c>
      <c r="N41" s="18" t="str">
        <f aca="false">IF(K41="Staff verified",Config!$B$4,IF(OR(K41="Authorized student verified",K41="Multiple student reports",K41="Single student report"),Config!$B$3,""))</f>
        <v/>
      </c>
      <c r="O41" s="18" t="str">
        <f aca="false">IF(H41="No","n/a",IF(L41="","Unverified Data",IF(M41&gt;N41,"Stale report",K41)))</f>
        <v>Verified student report</v>
      </c>
      <c r="P41" s="18" t="str">
        <f aca="false">IF(AND(H41="Yes",OR(I41="Available",I41="Low stock")),IF(O41="Stale report","Verify first","Yes"),"No")</f>
        <v>Yes</v>
      </c>
      <c r="Q41" s="18" t="str">
        <f aca="false">IF(H41="Yes","proposed_pending_approval","n/a")</f>
        <v>proposed_pending_approval</v>
      </c>
      <c r="R41" s="18" t="str">
        <f aca="false">IF(H41="Yes","Retail swipe (proposed) / RU Express / Cash or card","n/a")</f>
        <v>Retail swipe (proposed) / RU Express / Cash or card</v>
      </c>
      <c r="S41" s="21" t="str">
        <f aca="false">INDEX(Products!$I$2:$I$29,MATCH($E41,Products!$A$2:$A$29,0))</f>
        <v>1 package</v>
      </c>
      <c r="T41" s="18" t="n">
        <f aca="false">IF(H41="Yes",Config!$B$5,"")</f>
        <v>75</v>
      </c>
      <c r="U41" s="21" t="str">
        <f aca="false">INDEX(Products!$J$2:$J$29,MATCH($E41,Products!$A$2:$A$29,0))</f>
        <v>No</v>
      </c>
      <c r="V41" s="18" t="s">
        <v>394</v>
      </c>
    </row>
    <row r="42" customFormat="false" ht="15" hidden="false" customHeight="true" outlineLevel="0" collapsed="false">
      <c r="A42" s="18" t="s">
        <v>439</v>
      </c>
      <c r="B42" s="18" t="s">
        <v>136</v>
      </c>
      <c r="C42" s="21" t="str">
        <f aca="false">INDEX(Locations!$B$2:$B$9,MATCH($B42,Locations!$A$2:$A$9,0))</f>
        <v>Cafe West</v>
      </c>
      <c r="D42" s="21" t="str">
        <f aca="false">INDEX(Locations!$C$2:$C$9,MATCH($B42,Locations!$A$2:$A$9,0))</f>
        <v>College Avenue</v>
      </c>
      <c r="E42" s="18" t="s">
        <v>281</v>
      </c>
      <c r="F42" s="21" t="str">
        <f aca="false">INDEX(Products!$B$2:$B$29,MATCH($E42,Products!$A$2:$A$29,0))</f>
        <v>Benadryl</v>
      </c>
      <c r="G42" s="21" t="str">
        <f aca="false">INDEX(Products!$C$2:$C$29,MATCH($E42,Products!$A$2:$A$29,0))</f>
        <v>Allergy</v>
      </c>
      <c r="H42" s="18" t="s">
        <v>123</v>
      </c>
      <c r="I42" s="18" t="s">
        <v>396</v>
      </c>
      <c r="J42" s="18" t="str">
        <f aca="false">IF(H42="No","-",IF(I42="Available","Good supply",IF(I42="Low stock","Few left",IF(I42="Out of stock","None",IF(I42="Temporarily unavailable","Unavailable","Unknown")))))</f>
        <v>None</v>
      </c>
      <c r="K42" s="18" t="s">
        <v>409</v>
      </c>
      <c r="L42" s="22"/>
      <c r="M42" s="18" t="str">
        <f aca="false">IF(L42="","",ROUND((Config!$B$2-L42)*1440,0))</f>
        <v/>
      </c>
      <c r="N42" s="18" t="str">
        <f aca="false">IF(K42="Staff verified",Config!$B$4,IF(OR(K42="Authorized student verified",K42="Multiple student reports",K42="Single student report"),Config!$B$3,""))</f>
        <v/>
      </c>
      <c r="O42" s="18" t="str">
        <f aca="false">IF(H42="No","n/a",IF(L42="","Unverified Data",IF(M42&gt;N42,"Stale report",K42)))</f>
        <v>Unverified Data</v>
      </c>
      <c r="P42" s="18" t="str">
        <f aca="false">IF(AND(H42="Yes",OR(I42="Available",I42="Low stock")),IF(O42="Stale report","Verify first","Yes"),"No")</f>
        <v>No</v>
      </c>
      <c r="Q42" s="18" t="str">
        <f aca="false">IF(H42="Yes","proposed_pending_approval","n/a")</f>
        <v>proposed_pending_approval</v>
      </c>
      <c r="R42" s="18" t="str">
        <f aca="false">IF(H42="Yes","Retail swipe (proposed) / RU Express / Cash or card","n/a")</f>
        <v>Retail swipe (proposed) / RU Express / Cash or card</v>
      </c>
      <c r="S42" s="21" t="str">
        <f aca="false">INDEX(Products!$I$2:$I$29,MATCH($E42,Products!$A$2:$A$29,0))</f>
        <v>1 package</v>
      </c>
      <c r="T42" s="18" t="n">
        <f aca="false">IF(H42="Yes",Config!$B$5,"")</f>
        <v>75</v>
      </c>
      <c r="U42" s="21" t="str">
        <f aca="false">INDEX(Products!$J$2:$J$29,MATCH($E42,Products!$A$2:$A$29,0))</f>
        <v>No</v>
      </c>
      <c r="V42" s="18" t="s">
        <v>394</v>
      </c>
    </row>
    <row r="43" customFormat="false" ht="15" hidden="false" customHeight="true" outlineLevel="0" collapsed="false">
      <c r="A43" s="18" t="s">
        <v>440</v>
      </c>
      <c r="B43" s="18" t="s">
        <v>136</v>
      </c>
      <c r="C43" s="21" t="str">
        <f aca="false">INDEX(Locations!$B$2:$B$9,MATCH($B43,Locations!$A$2:$A$9,0))</f>
        <v>Cafe West</v>
      </c>
      <c r="D43" s="21" t="str">
        <f aca="false">INDEX(Locations!$C$2:$C$9,MATCH($B43,Locations!$A$2:$A$9,0))</f>
        <v>College Avenue</v>
      </c>
      <c r="E43" s="18" t="s">
        <v>287</v>
      </c>
      <c r="F43" s="21" t="str">
        <f aca="false">INDEX(Products!$B$2:$B$29,MATCH($E43,Products!$A$2:$A$29,0))</f>
        <v>Tums</v>
      </c>
      <c r="G43" s="21" t="str">
        <f aca="false">INDEX(Products!$C$2:$C$29,MATCH($E43,Products!$A$2:$A$29,0))</f>
        <v>Digestive</v>
      </c>
      <c r="H43" s="18" t="s">
        <v>123</v>
      </c>
      <c r="I43" s="18" t="s">
        <v>413</v>
      </c>
      <c r="J43" s="18" t="str">
        <f aca="false">IF(H43="No","-",IF(I43="Available","Good supply",IF(I43="Low stock","Few left",IF(I43="Out of stock","None",IF(I43="Temporarily unavailable","Unavailable","Unknown")))))</f>
        <v>Unknown</v>
      </c>
      <c r="K43" s="18" t="s">
        <v>409</v>
      </c>
      <c r="L43" s="22"/>
      <c r="M43" s="18" t="str">
        <f aca="false">IF(L43="","",ROUND((Config!$B$2-L43)*1440,0))</f>
        <v/>
      </c>
      <c r="N43" s="18" t="str">
        <f aca="false">IF(K43="Staff verified",Config!$B$4,IF(OR(K43="Authorized student verified",K43="Multiple student reports",K43="Single student report"),Config!$B$3,""))</f>
        <v/>
      </c>
      <c r="O43" s="18" t="str">
        <f aca="false">IF(H43="No","n/a",IF(L43="","Unverified Data",IF(M43&gt;N43,"Stale report",K43)))</f>
        <v>Unverified Data</v>
      </c>
      <c r="P43" s="18" t="str">
        <f aca="false">IF(AND(H43="Yes",OR(I43="Available",I43="Low stock")),IF(O43="Stale report","Verify first","Yes"),"No")</f>
        <v>No</v>
      </c>
      <c r="Q43" s="18" t="str">
        <f aca="false">IF(H43="Yes","proposed_pending_approval","n/a")</f>
        <v>proposed_pending_approval</v>
      </c>
      <c r="R43" s="18" t="str">
        <f aca="false">IF(H43="Yes","Retail swipe (proposed) / RU Express / Cash or card","n/a")</f>
        <v>Retail swipe (proposed) / RU Express / Cash or card</v>
      </c>
      <c r="S43" s="21" t="str">
        <f aca="false">INDEX(Products!$I$2:$I$29,MATCH($E43,Products!$A$2:$A$29,0))</f>
        <v>1 package</v>
      </c>
      <c r="T43" s="18" t="n">
        <f aca="false">IF(H43="Yes",Config!$B$5,"")</f>
        <v>75</v>
      </c>
      <c r="U43" s="21" t="str">
        <f aca="false">INDEX(Products!$J$2:$J$29,MATCH($E43,Products!$A$2:$A$29,0))</f>
        <v>No</v>
      </c>
      <c r="V43" s="18" t="s">
        <v>394</v>
      </c>
    </row>
    <row r="44" customFormat="false" ht="15" hidden="false" customHeight="true" outlineLevel="0" collapsed="false">
      <c r="A44" s="18" t="s">
        <v>441</v>
      </c>
      <c r="B44" s="18" t="s">
        <v>136</v>
      </c>
      <c r="C44" s="21" t="str">
        <f aca="false">INDEX(Locations!$B$2:$B$9,MATCH($B44,Locations!$A$2:$A$9,0))</f>
        <v>Cafe West</v>
      </c>
      <c r="D44" s="21" t="str">
        <f aca="false">INDEX(Locations!$C$2:$C$9,MATCH($B44,Locations!$A$2:$A$9,0))</f>
        <v>College Avenue</v>
      </c>
      <c r="E44" s="18" t="s">
        <v>293</v>
      </c>
      <c r="F44" s="21" t="str">
        <f aca="false">INDEX(Products!$B$2:$B$29,MATCH($E44,Products!$A$2:$A$29,0))</f>
        <v>Pepto-Bismol</v>
      </c>
      <c r="G44" s="21" t="str">
        <f aca="false">INDEX(Products!$C$2:$C$29,MATCH($E44,Products!$A$2:$A$29,0))</f>
        <v>Digestive</v>
      </c>
      <c r="H44" s="18" t="s">
        <v>123</v>
      </c>
      <c r="I44" s="18" t="s">
        <v>392</v>
      </c>
      <c r="J44" s="18" t="str">
        <f aca="false">IF(H44="No","-",IF(I44="Available","Good supply",IF(I44="Low stock","Few left",IF(I44="Out of stock","None",IF(I44="Temporarily unavailable","Unavailable","Unknown")))))</f>
        <v>Good supply</v>
      </c>
      <c r="K44" s="18" t="s">
        <v>409</v>
      </c>
      <c r="L44" s="22"/>
      <c r="M44" s="18" t="str">
        <f aca="false">IF(L44="","",ROUND((Config!$B$2-L44)*1440,0))</f>
        <v/>
      </c>
      <c r="N44" s="18" t="str">
        <f aca="false">IF(K44="Staff verified",Config!$B$4,IF(OR(K44="Authorized student verified",K44="Multiple student reports",K44="Single student report"),Config!$B$3,""))</f>
        <v/>
      </c>
      <c r="O44" s="18" t="str">
        <f aca="false">IF(H44="No","n/a",IF(L44="","Unverified Data",IF(M44&gt;N44,"Stale report",K44)))</f>
        <v>Unverified Data</v>
      </c>
      <c r="P44" s="18" t="str">
        <f aca="false">IF(AND(H44="Yes",OR(I44="Available",I44="Low stock")),IF(O44="Stale report","Verify first","Yes"),"No")</f>
        <v>Yes</v>
      </c>
      <c r="Q44" s="18" t="str">
        <f aca="false">IF(H44="Yes","proposed_pending_approval","n/a")</f>
        <v>proposed_pending_approval</v>
      </c>
      <c r="R44" s="18" t="str">
        <f aca="false">IF(H44="Yes","Retail swipe (proposed) / RU Express / Cash or card","n/a")</f>
        <v>Retail swipe (proposed) / RU Express / Cash or card</v>
      </c>
      <c r="S44" s="21" t="str">
        <f aca="false">INDEX(Products!$I$2:$I$29,MATCH($E44,Products!$A$2:$A$29,0))</f>
        <v>1 package</v>
      </c>
      <c r="T44" s="18" t="n">
        <f aca="false">IF(H44="Yes",Config!$B$5,"")</f>
        <v>75</v>
      </c>
      <c r="U44" s="21" t="str">
        <f aca="false">INDEX(Products!$J$2:$J$29,MATCH($E44,Products!$A$2:$A$29,0))</f>
        <v>No</v>
      </c>
      <c r="V44" s="18" t="s">
        <v>394</v>
      </c>
    </row>
    <row r="45" customFormat="false" ht="15" hidden="false" customHeight="true" outlineLevel="0" collapsed="false">
      <c r="A45" s="18" t="s">
        <v>442</v>
      </c>
      <c r="B45" s="18" t="s">
        <v>136</v>
      </c>
      <c r="C45" s="21" t="str">
        <f aca="false">INDEX(Locations!$B$2:$B$9,MATCH($B45,Locations!$A$2:$A$9,0))</f>
        <v>Cafe West</v>
      </c>
      <c r="D45" s="21" t="str">
        <f aca="false">INDEX(Locations!$C$2:$C$9,MATCH($B45,Locations!$A$2:$A$9,0))</f>
        <v>College Avenue</v>
      </c>
      <c r="E45" s="18" t="s">
        <v>299</v>
      </c>
      <c r="F45" s="21" t="str">
        <f aca="false">INDEX(Products!$B$2:$B$29,MATCH($E45,Products!$A$2:$A$29,0))</f>
        <v>Imodium A-D</v>
      </c>
      <c r="G45" s="21" t="str">
        <f aca="false">INDEX(Products!$C$2:$C$29,MATCH($E45,Products!$A$2:$A$29,0))</f>
        <v>Digestive</v>
      </c>
      <c r="H45" s="18" t="s">
        <v>123</v>
      </c>
      <c r="I45" s="18" t="s">
        <v>392</v>
      </c>
      <c r="J45" s="18" t="str">
        <f aca="false">IF(H45="No","-",IF(I45="Available","Good supply",IF(I45="Low stock","Few left",IF(I45="Out of stock","None",IF(I45="Temporarily unavailable","Unavailable","Unknown")))))</f>
        <v>Good supply</v>
      </c>
      <c r="K45" s="18" t="s">
        <v>397</v>
      </c>
      <c r="L45" s="22" t="n">
        <v>46308.5395833333</v>
      </c>
      <c r="M45" s="18" t="n">
        <f aca="false">IF(L45="","",ROUND((Config!$B$2-L45)*1440,0))</f>
        <v>123</v>
      </c>
      <c r="N45" s="18" t="str">
        <f aca="false">IF(K45="Staff verified",Config!$B$4,IF(OR(K45="Authorized student verified",K45="Multiple student reports",K45="Single student report"),Config!$B$3,""))</f>
        <v/>
      </c>
      <c r="O45" s="18" t="str">
        <f aca="false">IF(H45="No","n/a",IF(L45="","Unverified Data",IF(M45&gt;N45,"Stale report",K45)))</f>
        <v>Verified student report</v>
      </c>
      <c r="P45" s="18" t="str">
        <f aca="false">IF(AND(H45="Yes",OR(I45="Available",I45="Low stock")),IF(O45="Stale report","Verify first","Yes"),"No")</f>
        <v>Yes</v>
      </c>
      <c r="Q45" s="18" t="str">
        <f aca="false">IF(H45="Yes","proposed_pending_approval","n/a")</f>
        <v>proposed_pending_approval</v>
      </c>
      <c r="R45" s="18" t="str">
        <f aca="false">IF(H45="Yes","Retail swipe (proposed) / RU Express / Cash or card","n/a")</f>
        <v>Retail swipe (proposed) / RU Express / Cash or card</v>
      </c>
      <c r="S45" s="21" t="str">
        <f aca="false">INDEX(Products!$I$2:$I$29,MATCH($E45,Products!$A$2:$A$29,0))</f>
        <v>1 package</v>
      </c>
      <c r="T45" s="18" t="n">
        <f aca="false">IF(H45="Yes",Config!$B$5,"")</f>
        <v>75</v>
      </c>
      <c r="U45" s="21" t="str">
        <f aca="false">INDEX(Products!$J$2:$J$29,MATCH($E45,Products!$A$2:$A$29,0))</f>
        <v>No</v>
      </c>
      <c r="V45" s="18" t="s">
        <v>394</v>
      </c>
    </row>
    <row r="46" customFormat="false" ht="15" hidden="false" customHeight="true" outlineLevel="0" collapsed="false">
      <c r="A46" s="18" t="s">
        <v>443</v>
      </c>
      <c r="B46" s="18" t="s">
        <v>136</v>
      </c>
      <c r="C46" s="21" t="str">
        <f aca="false">INDEX(Locations!$B$2:$B$9,MATCH($B46,Locations!$A$2:$A$9,0))</f>
        <v>Cafe West</v>
      </c>
      <c r="D46" s="21" t="str">
        <f aca="false">INDEX(Locations!$C$2:$C$9,MATCH($B46,Locations!$A$2:$A$9,0))</f>
        <v>College Avenue</v>
      </c>
      <c r="E46" s="18" t="s">
        <v>305</v>
      </c>
      <c r="F46" s="21" t="str">
        <f aca="false">INDEX(Products!$B$2:$B$29,MATCH($E46,Products!$A$2:$A$29,0))</f>
        <v>Pedialyte</v>
      </c>
      <c r="G46" s="21" t="str">
        <f aca="false">INDEX(Products!$C$2:$C$29,MATCH($E46,Products!$A$2:$A$29,0))</f>
        <v>Hydration</v>
      </c>
      <c r="H46" s="18" t="s">
        <v>123</v>
      </c>
      <c r="I46" s="18" t="s">
        <v>396</v>
      </c>
      <c r="J46" s="18" t="str">
        <f aca="false">IF(H46="No","-",IF(I46="Available","Good supply",IF(I46="Low stock","Few left",IF(I46="Out of stock","None",IF(I46="Temporarily unavailable","Unavailable","Unknown")))))</f>
        <v>None</v>
      </c>
      <c r="K46" s="18" t="s">
        <v>393</v>
      </c>
      <c r="L46" s="22" t="n">
        <v>46308.4840277778</v>
      </c>
      <c r="M46" s="18" t="n">
        <f aca="false">IF(L46="","",ROUND((Config!$B$2-L46)*1440,0))</f>
        <v>203</v>
      </c>
      <c r="N46" s="18" t="n">
        <f aca="false">IF(K46="Staff verified",Config!$B$4,IF(OR(K46="Authorized student verified",K46="Multiple student reports",K46="Single student report"),Config!$B$3,""))</f>
        <v>240</v>
      </c>
      <c r="O46" s="18" t="str">
        <f aca="false">IF(H46="No","n/a",IF(L46="","Unverified Data",IF(M46&gt;N46,"Stale report",K46)))</f>
        <v>Staff verified</v>
      </c>
      <c r="P46" s="18" t="str">
        <f aca="false">IF(AND(H46="Yes",OR(I46="Available",I46="Low stock")),IF(O46="Stale report","Verify first","Yes"),"No")</f>
        <v>No</v>
      </c>
      <c r="Q46" s="18" t="str">
        <f aca="false">IF(H46="Yes","proposed_pending_approval","n/a")</f>
        <v>proposed_pending_approval</v>
      </c>
      <c r="R46" s="18" t="str">
        <f aca="false">IF(H46="Yes","Retail swipe (proposed) / RU Express / Cash or card","n/a")</f>
        <v>Retail swipe (proposed) / RU Express / Cash or card</v>
      </c>
      <c r="S46" s="21" t="str">
        <f aca="false">INDEX(Products!$I$2:$I$29,MATCH($E46,Products!$A$2:$A$29,0))</f>
        <v>2 bottles</v>
      </c>
      <c r="T46" s="18" t="n">
        <f aca="false">IF(H46="Yes",Config!$B$5,"")</f>
        <v>75</v>
      </c>
      <c r="U46" s="21" t="str">
        <f aca="false">INDEX(Products!$J$2:$J$29,MATCH($E46,Products!$A$2:$A$29,0))</f>
        <v>No</v>
      </c>
      <c r="V46" s="18" t="s">
        <v>394</v>
      </c>
    </row>
    <row r="47" customFormat="false" ht="15" hidden="false" customHeight="true" outlineLevel="0" collapsed="false">
      <c r="A47" s="18" t="s">
        <v>444</v>
      </c>
      <c r="B47" s="18" t="s">
        <v>136</v>
      </c>
      <c r="C47" s="21" t="str">
        <f aca="false">INDEX(Locations!$B$2:$B$9,MATCH($B47,Locations!$A$2:$A$9,0))</f>
        <v>Cafe West</v>
      </c>
      <c r="D47" s="21" t="str">
        <f aca="false">INDEX(Locations!$C$2:$C$9,MATCH($B47,Locations!$A$2:$A$9,0))</f>
        <v>College Avenue</v>
      </c>
      <c r="E47" s="18" t="s">
        <v>312</v>
      </c>
      <c r="F47" s="21" t="str">
        <f aca="false">INDEX(Products!$B$2:$B$29,MATCH($E47,Products!$A$2:$A$29,0))</f>
        <v>Digital thermometer (brand varies)</v>
      </c>
      <c r="G47" s="21" t="str">
        <f aca="false">INDEX(Products!$C$2:$C$29,MATCH($E47,Products!$A$2:$A$29,0))</f>
        <v>Diagnostics</v>
      </c>
      <c r="H47" s="18" t="s">
        <v>123</v>
      </c>
      <c r="I47" s="18" t="s">
        <v>392</v>
      </c>
      <c r="J47" s="18" t="str">
        <f aca="false">IF(H47="No","-",IF(I47="Available","Good supply",IF(I47="Low stock","Few left",IF(I47="Out of stock","None",IF(I47="Temporarily unavailable","Unavailable","Unknown")))))</f>
        <v>Good supply</v>
      </c>
      <c r="K47" s="18" t="s">
        <v>397</v>
      </c>
      <c r="L47" s="22" t="n">
        <v>46308.6076388889</v>
      </c>
      <c r="M47" s="18" t="n">
        <f aca="false">IF(L47="","",ROUND((Config!$B$2-L47)*1440,0))</f>
        <v>25</v>
      </c>
      <c r="N47" s="18" t="str">
        <f aca="false">IF(K47="Staff verified",Config!$B$4,IF(OR(K47="Authorized student verified",K47="Multiple student reports",K47="Single student report"),Config!$B$3,""))</f>
        <v/>
      </c>
      <c r="O47" s="18" t="str">
        <f aca="false">IF(H47="No","n/a",IF(L47="","Unverified Data",IF(M47&gt;N47,"Stale report",K47)))</f>
        <v>Verified student report</v>
      </c>
      <c r="P47" s="18" t="str">
        <f aca="false">IF(AND(H47="Yes",OR(I47="Available",I47="Low stock")),IF(O47="Stale report","Verify first","Yes"),"No")</f>
        <v>Yes</v>
      </c>
      <c r="Q47" s="18" t="str">
        <f aca="false">IF(H47="Yes","proposed_pending_approval","n/a")</f>
        <v>proposed_pending_approval</v>
      </c>
      <c r="R47" s="18" t="str">
        <f aca="false">IF(H47="Yes","Retail swipe (proposed) / RU Express / Cash or card","n/a")</f>
        <v>Retail swipe (proposed) / RU Express / Cash or card</v>
      </c>
      <c r="S47" s="21" t="str">
        <f aca="false">INDEX(Products!$I$2:$I$29,MATCH($E47,Products!$A$2:$A$29,0))</f>
        <v>1 unit</v>
      </c>
      <c r="T47" s="18" t="n">
        <f aca="false">IF(H47="Yes",Config!$B$5,"")</f>
        <v>75</v>
      </c>
      <c r="U47" s="21" t="str">
        <f aca="false">INDEX(Products!$J$2:$J$29,MATCH($E47,Products!$A$2:$A$29,0))</f>
        <v>No</v>
      </c>
      <c r="V47" s="18" t="s">
        <v>394</v>
      </c>
    </row>
    <row r="48" customFormat="false" ht="15" hidden="false" customHeight="true" outlineLevel="0" collapsed="false">
      <c r="A48" s="18" t="s">
        <v>445</v>
      </c>
      <c r="B48" s="18" t="s">
        <v>136</v>
      </c>
      <c r="C48" s="21" t="str">
        <f aca="false">INDEX(Locations!$B$2:$B$9,MATCH($B48,Locations!$A$2:$A$9,0))</f>
        <v>Cafe West</v>
      </c>
      <c r="D48" s="21" t="str">
        <f aca="false">INDEX(Locations!$C$2:$C$9,MATCH($B48,Locations!$A$2:$A$9,0))</f>
        <v>College Avenue</v>
      </c>
      <c r="E48" s="18" t="s">
        <v>320</v>
      </c>
      <c r="F48" s="21" t="str">
        <f aca="false">INDEX(Products!$B$2:$B$29,MATCH($E48,Products!$A$2:$A$29,0))</f>
        <v>iHealth COVID-19 Antigen Rapid Test</v>
      </c>
      <c r="G48" s="21" t="str">
        <f aca="false">INDEX(Products!$C$2:$C$29,MATCH($E48,Products!$A$2:$A$29,0))</f>
        <v>Diagnostics</v>
      </c>
      <c r="H48" s="18" t="s">
        <v>123</v>
      </c>
      <c r="I48" s="18" t="s">
        <v>404</v>
      </c>
      <c r="J48" s="18" t="str">
        <f aca="false">IF(H48="No","-",IF(I48="Available","Good supply",IF(I48="Low stock","Few left",IF(I48="Out of stock","None",IF(I48="Temporarily unavailable","Unavailable","Unknown")))))</f>
        <v>Few left</v>
      </c>
      <c r="K48" s="18" t="s">
        <v>397</v>
      </c>
      <c r="L48" s="22" t="n">
        <v>46308.6215277778</v>
      </c>
      <c r="M48" s="18" t="n">
        <f aca="false">IF(L48="","",ROUND((Config!$B$2-L48)*1440,0))</f>
        <v>5</v>
      </c>
      <c r="N48" s="18" t="str">
        <f aca="false">IF(K48="Staff verified",Config!$B$4,IF(OR(K48="Authorized student verified",K48="Multiple student reports",K48="Single student report"),Config!$B$3,""))</f>
        <v/>
      </c>
      <c r="O48" s="18" t="str">
        <f aca="false">IF(H48="No","n/a",IF(L48="","Unverified Data",IF(M48&gt;N48,"Stale report",K48)))</f>
        <v>Verified student report</v>
      </c>
      <c r="P48" s="18" t="str">
        <f aca="false">IF(AND(H48="Yes",OR(I48="Available",I48="Low stock")),IF(O48="Stale report","Verify first","Yes"),"No")</f>
        <v>Yes</v>
      </c>
      <c r="Q48" s="18" t="str">
        <f aca="false">IF(H48="Yes","proposed_pending_approval","n/a")</f>
        <v>proposed_pending_approval</v>
      </c>
      <c r="R48" s="18" t="str">
        <f aca="false">IF(H48="Yes","Retail swipe (proposed) / RU Express / Cash or card","n/a")</f>
        <v>Retail swipe (proposed) / RU Express / Cash or card</v>
      </c>
      <c r="S48" s="21" t="str">
        <f aca="false">INDEX(Products!$I$2:$I$29,MATCH($E48,Products!$A$2:$A$29,0))</f>
        <v>1 kit</v>
      </c>
      <c r="T48" s="18" t="n">
        <f aca="false">IF(H48="Yes",Config!$B$5,"")</f>
        <v>75</v>
      </c>
      <c r="U48" s="21" t="str">
        <f aca="false">INDEX(Products!$J$2:$J$29,MATCH($E48,Products!$A$2:$A$29,0))</f>
        <v>No</v>
      </c>
      <c r="V48" s="18" t="s">
        <v>394</v>
      </c>
    </row>
    <row r="49" customFormat="false" ht="15" hidden="false" customHeight="true" outlineLevel="0" collapsed="false">
      <c r="A49" s="18" t="s">
        <v>446</v>
      </c>
      <c r="B49" s="18" t="s">
        <v>136</v>
      </c>
      <c r="C49" s="21" t="str">
        <f aca="false">INDEX(Locations!$B$2:$B$9,MATCH($B49,Locations!$A$2:$A$9,0))</f>
        <v>Cafe West</v>
      </c>
      <c r="D49" s="21" t="str">
        <f aca="false">INDEX(Locations!$C$2:$C$9,MATCH($B49,Locations!$A$2:$A$9,0))</f>
        <v>College Avenue</v>
      </c>
      <c r="E49" s="18" t="s">
        <v>327</v>
      </c>
      <c r="F49" s="21" t="str">
        <f aca="false">INDEX(Products!$B$2:$B$29,MATCH($E49,Products!$A$2:$A$29,0))</f>
        <v>Band-Aid Brand Adhesive Bandages</v>
      </c>
      <c r="G49" s="21" t="str">
        <f aca="false">INDEX(Products!$C$2:$C$29,MATCH($E49,Products!$A$2:$A$29,0))</f>
        <v>First aid &amp; comfort</v>
      </c>
      <c r="H49" s="18" t="s">
        <v>123</v>
      </c>
      <c r="I49" s="18" t="s">
        <v>392</v>
      </c>
      <c r="J49" s="18" t="str">
        <f aca="false">IF(H49="No","-",IF(I49="Available","Good supply",IF(I49="Low stock","Few left",IF(I49="Out of stock","None",IF(I49="Temporarily unavailable","Unavailable","Unknown")))))</f>
        <v>Good supply</v>
      </c>
      <c r="K49" s="18" t="s">
        <v>397</v>
      </c>
      <c r="L49" s="22" t="n">
        <v>46308.5979166667</v>
      </c>
      <c r="M49" s="18" t="n">
        <f aca="false">IF(L49="","",ROUND((Config!$B$2-L49)*1440,0))</f>
        <v>39</v>
      </c>
      <c r="N49" s="18" t="str">
        <f aca="false">IF(K49="Staff verified",Config!$B$4,IF(OR(K49="Authorized student verified",K49="Multiple student reports",K49="Single student report"),Config!$B$3,""))</f>
        <v/>
      </c>
      <c r="O49" s="18" t="str">
        <f aca="false">IF(H49="No","n/a",IF(L49="","Unverified Data",IF(M49&gt;N49,"Stale report",K49)))</f>
        <v>Verified student report</v>
      </c>
      <c r="P49" s="18" t="str">
        <f aca="false">IF(AND(H49="Yes",OR(I49="Available",I49="Low stock")),IF(O49="Stale report","Verify first","Yes"),"No")</f>
        <v>Yes</v>
      </c>
      <c r="Q49" s="18" t="str">
        <f aca="false">IF(H49="Yes","proposed_pending_approval","n/a")</f>
        <v>proposed_pending_approval</v>
      </c>
      <c r="R49" s="18" t="str">
        <f aca="false">IF(H49="Yes","Retail swipe (proposed) / RU Express / Cash or card","n/a")</f>
        <v>Retail swipe (proposed) / RU Express / Cash or card</v>
      </c>
      <c r="S49" s="21" t="str">
        <f aca="false">INDEX(Products!$I$2:$I$29,MATCH($E49,Products!$A$2:$A$29,0))</f>
        <v>1 box</v>
      </c>
      <c r="T49" s="18" t="n">
        <f aca="false">IF(H49="Yes",Config!$B$5,"")</f>
        <v>75</v>
      </c>
      <c r="U49" s="21" t="str">
        <f aca="false">INDEX(Products!$J$2:$J$29,MATCH($E49,Products!$A$2:$A$29,0))</f>
        <v>No</v>
      </c>
      <c r="V49" s="18" t="s">
        <v>394</v>
      </c>
    </row>
    <row r="50" customFormat="false" ht="15" hidden="false" customHeight="true" outlineLevel="0" collapsed="false">
      <c r="A50" s="18" t="s">
        <v>447</v>
      </c>
      <c r="B50" s="18" t="s">
        <v>136</v>
      </c>
      <c r="C50" s="21" t="str">
        <f aca="false">INDEX(Locations!$B$2:$B$9,MATCH($B50,Locations!$A$2:$A$9,0))</f>
        <v>Cafe West</v>
      </c>
      <c r="D50" s="21" t="str">
        <f aca="false">INDEX(Locations!$C$2:$C$9,MATCH($B50,Locations!$A$2:$A$9,0))</f>
        <v>College Avenue</v>
      </c>
      <c r="E50" s="18" t="s">
        <v>333</v>
      </c>
      <c r="F50" s="21" t="str">
        <f aca="false">INDEX(Products!$B$2:$B$29,MATCH($E50,Products!$A$2:$A$29,0))</f>
        <v>Johnson &amp; Johnson First Aid To Go Kit</v>
      </c>
      <c r="G50" s="21" t="str">
        <f aca="false">INDEX(Products!$C$2:$C$29,MATCH($E50,Products!$A$2:$A$29,0))</f>
        <v>First aid &amp; comfort</v>
      </c>
      <c r="H50" s="18" t="s">
        <v>123</v>
      </c>
      <c r="I50" s="18" t="s">
        <v>404</v>
      </c>
      <c r="J50" s="18" t="str">
        <f aca="false">IF(H50="No","-",IF(I50="Available","Good supply",IF(I50="Low stock","Few left",IF(I50="Out of stock","None",IF(I50="Temporarily unavailable","Unavailable","Unknown")))))</f>
        <v>Few left</v>
      </c>
      <c r="K50" s="18" t="s">
        <v>397</v>
      </c>
      <c r="L50" s="22" t="n">
        <v>46308.6180555556</v>
      </c>
      <c r="M50" s="18" t="n">
        <f aca="false">IF(L50="","",ROUND((Config!$B$2-L50)*1440,0))</f>
        <v>10</v>
      </c>
      <c r="N50" s="18" t="str">
        <f aca="false">IF(K50="Staff verified",Config!$B$4,IF(OR(K50="Authorized student verified",K50="Multiple student reports",K50="Single student report"),Config!$B$3,""))</f>
        <v/>
      </c>
      <c r="O50" s="18" t="str">
        <f aca="false">IF(H50="No","n/a",IF(L50="","Unverified Data",IF(M50&gt;N50,"Stale report",K50)))</f>
        <v>Verified student report</v>
      </c>
      <c r="P50" s="18" t="str">
        <f aca="false">IF(AND(H50="Yes",OR(I50="Available",I50="Low stock")),IF(O50="Stale report","Verify first","Yes"),"No")</f>
        <v>Yes</v>
      </c>
      <c r="Q50" s="18" t="str">
        <f aca="false">IF(H50="Yes","proposed_pending_approval","n/a")</f>
        <v>proposed_pending_approval</v>
      </c>
      <c r="R50" s="18" t="str">
        <f aca="false">IF(H50="Yes","Retail swipe (proposed) / RU Express / Cash or card","n/a")</f>
        <v>Retail swipe (proposed) / RU Express / Cash or card</v>
      </c>
      <c r="S50" s="21" t="str">
        <f aca="false">INDEX(Products!$I$2:$I$29,MATCH($E50,Products!$A$2:$A$29,0))</f>
        <v>1 kit</v>
      </c>
      <c r="T50" s="18" t="n">
        <f aca="false">IF(H50="Yes",Config!$B$5,"")</f>
        <v>75</v>
      </c>
      <c r="U50" s="21" t="str">
        <f aca="false">INDEX(Products!$J$2:$J$29,MATCH($E50,Products!$A$2:$A$29,0))</f>
        <v>No</v>
      </c>
      <c r="V50" s="18" t="s">
        <v>394</v>
      </c>
    </row>
    <row r="51" customFormat="false" ht="15" hidden="false" customHeight="true" outlineLevel="0" collapsed="false">
      <c r="A51" s="18" t="s">
        <v>448</v>
      </c>
      <c r="B51" s="18" t="s">
        <v>136</v>
      </c>
      <c r="C51" s="21" t="str">
        <f aca="false">INDEX(Locations!$B$2:$B$9,MATCH($B51,Locations!$A$2:$A$9,0))</f>
        <v>Cafe West</v>
      </c>
      <c r="D51" s="21" t="str">
        <f aca="false">INDEX(Locations!$C$2:$C$9,MATCH($B51,Locations!$A$2:$A$9,0))</f>
        <v>College Avenue</v>
      </c>
      <c r="E51" s="18" t="s">
        <v>338</v>
      </c>
      <c r="F51" s="21" t="str">
        <f aca="false">INDEX(Products!$B$2:$B$29,MATCH($E51,Products!$A$2:$A$29,0))</f>
        <v>Neosporin Original Ointment</v>
      </c>
      <c r="G51" s="21" t="str">
        <f aca="false">INDEX(Products!$C$2:$C$29,MATCH($E51,Products!$A$2:$A$29,0))</f>
        <v>First aid &amp; comfort</v>
      </c>
      <c r="H51" s="18" t="s">
        <v>123</v>
      </c>
      <c r="I51" s="18" t="s">
        <v>392</v>
      </c>
      <c r="J51" s="18" t="str">
        <f aca="false">IF(H51="No","-",IF(I51="Available","Good supply",IF(I51="Low stock","Few left",IF(I51="Out of stock","None",IF(I51="Temporarily unavailable","Unavailable","Unknown")))))</f>
        <v>Good supply</v>
      </c>
      <c r="K51" s="18" t="s">
        <v>397</v>
      </c>
      <c r="L51" s="22" t="n">
        <v>46308.5201388889</v>
      </c>
      <c r="M51" s="18" t="n">
        <f aca="false">IF(L51="","",ROUND((Config!$B$2-L51)*1440,0))</f>
        <v>151</v>
      </c>
      <c r="N51" s="18" t="str">
        <f aca="false">IF(K51="Staff verified",Config!$B$4,IF(OR(K51="Authorized student verified",K51="Multiple student reports",K51="Single student report"),Config!$B$3,""))</f>
        <v/>
      </c>
      <c r="O51" s="18" t="str">
        <f aca="false">IF(H51="No","n/a",IF(L51="","Unverified Data",IF(M51&gt;N51,"Stale report",K51)))</f>
        <v>Verified student report</v>
      </c>
      <c r="P51" s="18" t="str">
        <f aca="false">IF(AND(H51="Yes",OR(I51="Available",I51="Low stock")),IF(O51="Stale report","Verify first","Yes"),"No")</f>
        <v>Yes</v>
      </c>
      <c r="Q51" s="18" t="str">
        <f aca="false">IF(H51="Yes","proposed_pending_approval","n/a")</f>
        <v>proposed_pending_approval</v>
      </c>
      <c r="R51" s="18" t="str">
        <f aca="false">IF(H51="Yes","Retail swipe (proposed) / RU Express / Cash or card","n/a")</f>
        <v>Retail swipe (proposed) / RU Express / Cash or card</v>
      </c>
      <c r="S51" s="21" t="str">
        <f aca="false">INDEX(Products!$I$2:$I$29,MATCH($E51,Products!$A$2:$A$29,0))</f>
        <v>1 tube</v>
      </c>
      <c r="T51" s="18" t="n">
        <f aca="false">IF(H51="Yes",Config!$B$5,"")</f>
        <v>75</v>
      </c>
      <c r="U51" s="21" t="str">
        <f aca="false">INDEX(Products!$J$2:$J$29,MATCH($E51,Products!$A$2:$A$29,0))</f>
        <v>No</v>
      </c>
      <c r="V51" s="18" t="s">
        <v>394</v>
      </c>
    </row>
    <row r="52" customFormat="false" ht="15" hidden="false" customHeight="true" outlineLevel="0" collapsed="false">
      <c r="A52" s="18" t="s">
        <v>449</v>
      </c>
      <c r="B52" s="18" t="s">
        <v>136</v>
      </c>
      <c r="C52" s="21" t="str">
        <f aca="false">INDEX(Locations!$B$2:$B$9,MATCH($B52,Locations!$A$2:$A$9,0))</f>
        <v>Cafe West</v>
      </c>
      <c r="D52" s="21" t="str">
        <f aca="false">INDEX(Locations!$C$2:$C$9,MATCH($B52,Locations!$A$2:$A$9,0))</f>
        <v>College Avenue</v>
      </c>
      <c r="E52" s="18" t="s">
        <v>345</v>
      </c>
      <c r="F52" s="21" t="str">
        <f aca="false">INDEX(Products!$B$2:$B$29,MATCH($E52,Products!$A$2:$A$29,0))</f>
        <v>Instant cold pack (brand varies)</v>
      </c>
      <c r="G52" s="21" t="str">
        <f aca="false">INDEX(Products!$C$2:$C$29,MATCH($E52,Products!$A$2:$A$29,0))</f>
        <v>First aid &amp; comfort</v>
      </c>
      <c r="H52" s="18" t="s">
        <v>123</v>
      </c>
      <c r="I52" s="18" t="s">
        <v>392</v>
      </c>
      <c r="J52" s="18" t="str">
        <f aca="false">IF(H52="No","-",IF(I52="Available","Good supply",IF(I52="Low stock","Few left",IF(I52="Out of stock","None",IF(I52="Temporarily unavailable","Unavailable","Unknown")))))</f>
        <v>Good supply</v>
      </c>
      <c r="K52" s="18" t="s">
        <v>409</v>
      </c>
      <c r="L52" s="22"/>
      <c r="M52" s="18" t="str">
        <f aca="false">IF(L52="","",ROUND((Config!$B$2-L52)*1440,0))</f>
        <v/>
      </c>
      <c r="N52" s="18" t="str">
        <f aca="false">IF(K52="Staff verified",Config!$B$4,IF(OR(K52="Authorized student verified",K52="Multiple student reports",K52="Single student report"),Config!$B$3,""))</f>
        <v/>
      </c>
      <c r="O52" s="18" t="str">
        <f aca="false">IF(H52="No","n/a",IF(L52="","Unverified Data",IF(M52&gt;N52,"Stale report",K52)))</f>
        <v>Unverified Data</v>
      </c>
      <c r="P52" s="18" t="str">
        <f aca="false">IF(AND(H52="Yes",OR(I52="Available",I52="Low stock")),IF(O52="Stale report","Verify first","Yes"),"No")</f>
        <v>Yes</v>
      </c>
      <c r="Q52" s="18" t="str">
        <f aca="false">IF(H52="Yes","proposed_pending_approval","n/a")</f>
        <v>proposed_pending_approval</v>
      </c>
      <c r="R52" s="18" t="str">
        <f aca="false">IF(H52="Yes","Retail swipe (proposed) / RU Express / Cash or card","n/a")</f>
        <v>Retail swipe (proposed) / RU Express / Cash or card</v>
      </c>
      <c r="S52" s="21" t="str">
        <f aca="false">INDEX(Products!$I$2:$I$29,MATCH($E52,Products!$A$2:$A$29,0))</f>
        <v>1 pack</v>
      </c>
      <c r="T52" s="18" t="n">
        <f aca="false">IF(H52="Yes",Config!$B$5,"")</f>
        <v>75</v>
      </c>
      <c r="U52" s="21" t="str">
        <f aca="false">INDEX(Products!$J$2:$J$29,MATCH($E52,Products!$A$2:$A$29,0))</f>
        <v>No</v>
      </c>
      <c r="V52" s="18" t="s">
        <v>394</v>
      </c>
    </row>
    <row r="53" customFormat="false" ht="15" hidden="false" customHeight="true" outlineLevel="0" collapsed="false">
      <c r="A53" s="18" t="s">
        <v>450</v>
      </c>
      <c r="B53" s="18" t="s">
        <v>136</v>
      </c>
      <c r="C53" s="21" t="str">
        <f aca="false">INDEX(Locations!$B$2:$B$9,MATCH($B53,Locations!$A$2:$A$9,0))</f>
        <v>Cafe West</v>
      </c>
      <c r="D53" s="21" t="str">
        <f aca="false">INDEX(Locations!$C$2:$C$9,MATCH($B53,Locations!$A$2:$A$9,0))</f>
        <v>College Avenue</v>
      </c>
      <c r="E53" s="18" t="s">
        <v>351</v>
      </c>
      <c r="F53" s="21" t="str">
        <f aca="false">INDEX(Products!$B$2:$B$29,MATCH($E53,Products!$A$2:$A$29,0))</f>
        <v>ThermaCare Heat Wrap</v>
      </c>
      <c r="G53" s="21" t="str">
        <f aca="false">INDEX(Products!$C$2:$C$29,MATCH($E53,Products!$A$2:$A$29,0))</f>
        <v>First aid &amp; comfort</v>
      </c>
      <c r="H53" s="18" t="s">
        <v>123</v>
      </c>
      <c r="I53" s="18" t="s">
        <v>404</v>
      </c>
      <c r="J53" s="18" t="str">
        <f aca="false">IF(H53="No","-",IF(I53="Available","Good supply",IF(I53="Low stock","Few left",IF(I53="Out of stock","None",IF(I53="Temporarily unavailable","Unavailable","Unknown")))))</f>
        <v>Few left</v>
      </c>
      <c r="K53" s="18" t="s">
        <v>409</v>
      </c>
      <c r="L53" s="22"/>
      <c r="M53" s="18" t="str">
        <f aca="false">IF(L53="","",ROUND((Config!$B$2-L53)*1440,0))</f>
        <v/>
      </c>
      <c r="N53" s="18" t="str">
        <f aca="false">IF(K53="Staff verified",Config!$B$4,IF(OR(K53="Authorized student verified",K53="Multiple student reports",K53="Single student report"),Config!$B$3,""))</f>
        <v/>
      </c>
      <c r="O53" s="18" t="str">
        <f aca="false">IF(H53="No","n/a",IF(L53="","Unverified Data",IF(M53&gt;N53,"Stale report",K53)))</f>
        <v>Unverified Data</v>
      </c>
      <c r="P53" s="18" t="str">
        <f aca="false">IF(AND(H53="Yes",OR(I53="Available",I53="Low stock")),IF(O53="Stale report","Verify first","Yes"),"No")</f>
        <v>Yes</v>
      </c>
      <c r="Q53" s="18" t="str">
        <f aca="false">IF(H53="Yes","proposed_pending_approval","n/a")</f>
        <v>proposed_pending_approval</v>
      </c>
      <c r="R53" s="18" t="str">
        <f aca="false">IF(H53="Yes","Retail swipe (proposed) / RU Express / Cash or card","n/a")</f>
        <v>Retail swipe (proposed) / RU Express / Cash or card</v>
      </c>
      <c r="S53" s="21" t="str">
        <f aca="false">INDEX(Products!$I$2:$I$29,MATCH($E53,Products!$A$2:$A$29,0))</f>
        <v>1 package</v>
      </c>
      <c r="T53" s="18" t="n">
        <f aca="false">IF(H53="Yes",Config!$B$5,"")</f>
        <v>75</v>
      </c>
      <c r="U53" s="21" t="str">
        <f aca="false">INDEX(Products!$J$2:$J$29,MATCH($E53,Products!$A$2:$A$29,0))</f>
        <v>No</v>
      </c>
      <c r="V53" s="18" t="s">
        <v>394</v>
      </c>
    </row>
    <row r="54" customFormat="false" ht="15" hidden="false" customHeight="true" outlineLevel="0" collapsed="false">
      <c r="A54" s="18" t="s">
        <v>451</v>
      </c>
      <c r="B54" s="18" t="s">
        <v>136</v>
      </c>
      <c r="C54" s="21" t="str">
        <f aca="false">INDEX(Locations!$B$2:$B$9,MATCH($B54,Locations!$A$2:$A$9,0))</f>
        <v>Cafe West</v>
      </c>
      <c r="D54" s="21" t="str">
        <f aca="false">INDEX(Locations!$C$2:$C$9,MATCH($B54,Locations!$A$2:$A$9,0))</f>
        <v>College Avenue</v>
      </c>
      <c r="E54" s="18" t="s">
        <v>356</v>
      </c>
      <c r="F54" s="21" t="str">
        <f aca="false">INDEX(Products!$B$2:$B$29,MATCH($E54,Products!$A$2:$A$29,0))</f>
        <v>Always Ultra Thin Pads</v>
      </c>
      <c r="G54" s="21" t="str">
        <f aca="false">INDEX(Products!$C$2:$C$29,MATCH($E54,Products!$A$2:$A$29,0))</f>
        <v>Menstrual &amp; hygiene</v>
      </c>
      <c r="H54" s="18" t="s">
        <v>123</v>
      </c>
      <c r="I54" s="18" t="s">
        <v>392</v>
      </c>
      <c r="J54" s="18" t="str">
        <f aca="false">IF(H54="No","-",IF(I54="Available","Good supply",IF(I54="Low stock","Few left",IF(I54="Out of stock","None",IF(I54="Temporarily unavailable","Unavailable","Unknown")))))</f>
        <v>Good supply</v>
      </c>
      <c r="K54" s="18" t="s">
        <v>397</v>
      </c>
      <c r="L54" s="22" t="n">
        <v>46308.6208333333</v>
      </c>
      <c r="M54" s="18" t="n">
        <f aca="false">IF(L54="","",ROUND((Config!$B$2-L54)*1440,0))</f>
        <v>6</v>
      </c>
      <c r="N54" s="18" t="str">
        <f aca="false">IF(K54="Staff verified",Config!$B$4,IF(OR(K54="Authorized student verified",K54="Multiple student reports",K54="Single student report"),Config!$B$3,""))</f>
        <v/>
      </c>
      <c r="O54" s="18" t="str">
        <f aca="false">IF(H54="No","n/a",IF(L54="","Unverified Data",IF(M54&gt;N54,"Stale report",K54)))</f>
        <v>Verified student report</v>
      </c>
      <c r="P54" s="18" t="str">
        <f aca="false">IF(AND(H54="Yes",OR(I54="Available",I54="Low stock")),IF(O54="Stale report","Verify first","Yes"),"No")</f>
        <v>Yes</v>
      </c>
      <c r="Q54" s="18" t="str">
        <f aca="false">IF(H54="Yes","proposed_pending_approval","n/a")</f>
        <v>proposed_pending_approval</v>
      </c>
      <c r="R54" s="18" t="str">
        <f aca="false">IF(H54="Yes","Retail swipe (proposed) / RU Express / Cash or card","n/a")</f>
        <v>Retail swipe (proposed) / RU Express / Cash or card</v>
      </c>
      <c r="S54" s="21" t="str">
        <f aca="false">INDEX(Products!$I$2:$I$29,MATCH($E54,Products!$A$2:$A$29,0))</f>
        <v>1 package</v>
      </c>
      <c r="T54" s="18" t="n">
        <f aca="false">IF(H54="Yes",Config!$B$5,"")</f>
        <v>75</v>
      </c>
      <c r="U54" s="21" t="str">
        <f aca="false">INDEX(Products!$J$2:$J$29,MATCH($E54,Products!$A$2:$A$29,0))</f>
        <v>No</v>
      </c>
      <c r="V54" s="18" t="s">
        <v>394</v>
      </c>
    </row>
    <row r="55" customFormat="false" ht="15" hidden="false" customHeight="true" outlineLevel="0" collapsed="false">
      <c r="A55" s="18" t="s">
        <v>452</v>
      </c>
      <c r="B55" s="18" t="s">
        <v>136</v>
      </c>
      <c r="C55" s="21" t="str">
        <f aca="false">INDEX(Locations!$B$2:$B$9,MATCH($B55,Locations!$A$2:$A$9,0))</f>
        <v>Cafe West</v>
      </c>
      <c r="D55" s="21" t="str">
        <f aca="false">INDEX(Locations!$C$2:$C$9,MATCH($B55,Locations!$A$2:$A$9,0))</f>
        <v>College Avenue</v>
      </c>
      <c r="E55" s="18" t="s">
        <v>363</v>
      </c>
      <c r="F55" s="21" t="str">
        <f aca="false">INDEX(Products!$B$2:$B$29,MATCH($E55,Products!$A$2:$A$29,0))</f>
        <v>Tampax Pearl Tampons</v>
      </c>
      <c r="G55" s="21" t="str">
        <f aca="false">INDEX(Products!$C$2:$C$29,MATCH($E55,Products!$A$2:$A$29,0))</f>
        <v>Menstrual &amp; hygiene</v>
      </c>
      <c r="H55" s="18" t="s">
        <v>123</v>
      </c>
      <c r="I55" s="18" t="s">
        <v>392</v>
      </c>
      <c r="J55" s="18" t="str">
        <f aca="false">IF(H55="No","-",IF(I55="Available","Good supply",IF(I55="Low stock","Few left",IF(I55="Out of stock","None",IF(I55="Temporarily unavailable","Unavailable","Unknown")))))</f>
        <v>Good supply</v>
      </c>
      <c r="K55" s="18" t="s">
        <v>397</v>
      </c>
      <c r="L55" s="22" t="n">
        <v>46308.6055555556</v>
      </c>
      <c r="M55" s="18" t="n">
        <f aca="false">IF(L55="","",ROUND((Config!$B$2-L55)*1440,0))</f>
        <v>28</v>
      </c>
      <c r="N55" s="18" t="str">
        <f aca="false">IF(K55="Staff verified",Config!$B$4,IF(OR(K55="Authorized student verified",K55="Multiple student reports",K55="Single student report"),Config!$B$3,""))</f>
        <v/>
      </c>
      <c r="O55" s="18" t="str">
        <f aca="false">IF(H55="No","n/a",IF(L55="","Unverified Data",IF(M55&gt;N55,"Stale report",K55)))</f>
        <v>Verified student report</v>
      </c>
      <c r="P55" s="18" t="str">
        <f aca="false">IF(AND(H55="Yes",OR(I55="Available",I55="Low stock")),IF(O55="Stale report","Verify first","Yes"),"No")</f>
        <v>Yes</v>
      </c>
      <c r="Q55" s="18" t="str">
        <f aca="false">IF(H55="Yes","proposed_pending_approval","n/a")</f>
        <v>proposed_pending_approval</v>
      </c>
      <c r="R55" s="18" t="str">
        <f aca="false">IF(H55="Yes","Retail swipe (proposed) / RU Express / Cash or card","n/a")</f>
        <v>Retail swipe (proposed) / RU Express / Cash or card</v>
      </c>
      <c r="S55" s="21" t="str">
        <f aca="false">INDEX(Products!$I$2:$I$29,MATCH($E55,Products!$A$2:$A$29,0))</f>
        <v>1 package</v>
      </c>
      <c r="T55" s="18" t="n">
        <f aca="false">IF(H55="Yes",Config!$B$5,"")</f>
        <v>75</v>
      </c>
      <c r="U55" s="21" t="str">
        <f aca="false">INDEX(Products!$J$2:$J$29,MATCH($E55,Products!$A$2:$A$29,0))</f>
        <v>No</v>
      </c>
      <c r="V55" s="18" t="s">
        <v>394</v>
      </c>
    </row>
    <row r="56" customFormat="false" ht="15" hidden="false" customHeight="true" outlineLevel="0" collapsed="false">
      <c r="A56" s="18" t="s">
        <v>453</v>
      </c>
      <c r="B56" s="18" t="s">
        <v>136</v>
      </c>
      <c r="C56" s="21" t="str">
        <f aca="false">INDEX(Locations!$B$2:$B$9,MATCH($B56,Locations!$A$2:$A$9,0))</f>
        <v>Cafe West</v>
      </c>
      <c r="D56" s="21" t="str">
        <f aca="false">INDEX(Locations!$C$2:$C$9,MATCH($B56,Locations!$A$2:$A$9,0))</f>
        <v>College Avenue</v>
      </c>
      <c r="E56" s="18" t="s">
        <v>368</v>
      </c>
      <c r="F56" s="21" t="str">
        <f aca="false">INDEX(Products!$B$2:$B$29,MATCH($E56,Products!$A$2:$A$29,0))</f>
        <v>Purell Advanced Hand Sanitizer</v>
      </c>
      <c r="G56" s="21" t="str">
        <f aca="false">INDEX(Products!$C$2:$C$29,MATCH($E56,Products!$A$2:$A$29,0))</f>
        <v>Menstrual &amp; hygiene</v>
      </c>
      <c r="H56" s="18" t="s">
        <v>123</v>
      </c>
      <c r="I56" s="18" t="s">
        <v>413</v>
      </c>
      <c r="J56" s="18" t="str">
        <f aca="false">IF(H56="No","-",IF(I56="Available","Good supply",IF(I56="Low stock","Few left",IF(I56="Out of stock","None",IF(I56="Temporarily unavailable","Unavailable","Unknown")))))</f>
        <v>Unknown</v>
      </c>
      <c r="K56" s="18" t="s">
        <v>409</v>
      </c>
      <c r="L56" s="22"/>
      <c r="M56" s="18" t="str">
        <f aca="false">IF(L56="","",ROUND((Config!$B$2-L56)*1440,0))</f>
        <v/>
      </c>
      <c r="N56" s="18" t="str">
        <f aca="false">IF(K56="Staff verified",Config!$B$4,IF(OR(K56="Authorized student verified",K56="Multiple student reports",K56="Single student report"),Config!$B$3,""))</f>
        <v/>
      </c>
      <c r="O56" s="18" t="str">
        <f aca="false">IF(H56="No","n/a",IF(L56="","Unverified Data",IF(M56&gt;N56,"Stale report",K56)))</f>
        <v>Unverified Data</v>
      </c>
      <c r="P56" s="18" t="str">
        <f aca="false">IF(AND(H56="Yes",OR(I56="Available",I56="Low stock")),IF(O56="Stale report","Verify first","Yes"),"No")</f>
        <v>No</v>
      </c>
      <c r="Q56" s="18" t="str">
        <f aca="false">IF(H56="Yes","proposed_pending_approval","n/a")</f>
        <v>proposed_pending_approval</v>
      </c>
      <c r="R56" s="18" t="str">
        <f aca="false">IF(H56="Yes","Retail swipe (proposed) / RU Express / Cash or card","n/a")</f>
        <v>Retail swipe (proposed) / RU Express / Cash or card</v>
      </c>
      <c r="S56" s="21" t="str">
        <f aca="false">INDEX(Products!$I$2:$I$29,MATCH($E56,Products!$A$2:$A$29,0))</f>
        <v>1 bottle</v>
      </c>
      <c r="T56" s="18" t="n">
        <f aca="false">IF(H56="Yes",Config!$B$5,"")</f>
        <v>75</v>
      </c>
      <c r="U56" s="21" t="str">
        <f aca="false">INDEX(Products!$J$2:$J$29,MATCH($E56,Products!$A$2:$A$29,0))</f>
        <v>No</v>
      </c>
      <c r="V56" s="18" t="s">
        <v>394</v>
      </c>
    </row>
    <row r="57" customFormat="false" ht="15" hidden="false" customHeight="true" outlineLevel="0" collapsed="false">
      <c r="A57" s="18" t="s">
        <v>454</v>
      </c>
      <c r="B57" s="18" t="s">
        <v>136</v>
      </c>
      <c r="C57" s="21" t="str">
        <f aca="false">INDEX(Locations!$B$2:$B$9,MATCH($B57,Locations!$A$2:$A$9,0))</f>
        <v>Cafe West</v>
      </c>
      <c r="D57" s="21" t="str">
        <f aca="false">INDEX(Locations!$C$2:$C$9,MATCH($B57,Locations!$A$2:$A$9,0))</f>
        <v>College Avenue</v>
      </c>
      <c r="E57" s="18" t="s">
        <v>374</v>
      </c>
      <c r="F57" s="21" t="str">
        <f aca="false">INDEX(Products!$B$2:$B$29,MATCH($E57,Products!$A$2:$A$29,0))</f>
        <v>Disposable face masks (brand varies)</v>
      </c>
      <c r="G57" s="21" t="str">
        <f aca="false">INDEX(Products!$C$2:$C$29,MATCH($E57,Products!$A$2:$A$29,0))</f>
        <v>Menstrual &amp; hygiene</v>
      </c>
      <c r="H57" s="18" t="s">
        <v>123</v>
      </c>
      <c r="I57" s="18" t="s">
        <v>392</v>
      </c>
      <c r="J57" s="18" t="str">
        <f aca="false">IF(H57="No","-",IF(I57="Available","Good supply",IF(I57="Low stock","Few left",IF(I57="Out of stock","None",IF(I57="Temporarily unavailable","Unavailable","Unknown")))))</f>
        <v>Good supply</v>
      </c>
      <c r="K57" s="18" t="s">
        <v>393</v>
      </c>
      <c r="L57" s="22" t="n">
        <v>46308.5736111111</v>
      </c>
      <c r="M57" s="18" t="n">
        <f aca="false">IF(L57="","",ROUND((Config!$B$2-L57)*1440,0))</f>
        <v>74</v>
      </c>
      <c r="N57" s="18" t="n">
        <f aca="false">IF(K57="Staff verified",Config!$B$4,IF(OR(K57="Authorized student verified",K57="Multiple student reports",K57="Single student report"),Config!$B$3,""))</f>
        <v>240</v>
      </c>
      <c r="O57" s="18" t="str">
        <f aca="false">IF(H57="No","n/a",IF(L57="","Unverified Data",IF(M57&gt;N57,"Stale report",K57)))</f>
        <v>Staff verified</v>
      </c>
      <c r="P57" s="18" t="str">
        <f aca="false">IF(AND(H57="Yes",OR(I57="Available",I57="Low stock")),IF(O57="Stale report","Verify first","Yes"),"No")</f>
        <v>Yes</v>
      </c>
      <c r="Q57" s="18" t="str">
        <f aca="false">IF(H57="Yes","proposed_pending_approval","n/a")</f>
        <v>proposed_pending_approval</v>
      </c>
      <c r="R57" s="18" t="str">
        <f aca="false">IF(H57="Yes","Retail swipe (proposed) / RU Express / Cash or card","n/a")</f>
        <v>Retail swipe (proposed) / RU Express / Cash or card</v>
      </c>
      <c r="S57" s="21" t="str">
        <f aca="false">INDEX(Products!$I$2:$I$29,MATCH($E57,Products!$A$2:$A$29,0))</f>
        <v>1 pack</v>
      </c>
      <c r="T57" s="18" t="n">
        <f aca="false">IF(H57="Yes",Config!$B$5,"")</f>
        <v>75</v>
      </c>
      <c r="U57" s="21" t="str">
        <f aca="false">INDEX(Products!$J$2:$J$29,MATCH($E57,Products!$A$2:$A$29,0))</f>
        <v>No</v>
      </c>
      <c r="V57" s="18" t="s">
        <v>394</v>
      </c>
    </row>
    <row r="58" customFormat="false" ht="15" hidden="false" customHeight="true" outlineLevel="0" collapsed="false">
      <c r="A58" s="18" t="s">
        <v>455</v>
      </c>
      <c r="B58" s="18" t="s">
        <v>145</v>
      </c>
      <c r="C58" s="21" t="str">
        <f aca="false">INDEX(Locations!$B$2:$B$9,MATCH($B58,Locations!$A$2:$A$9,0))</f>
        <v>Kilmer's Market</v>
      </c>
      <c r="D58" s="21" t="str">
        <f aca="false">INDEX(Locations!$C$2:$C$9,MATCH($B58,Locations!$A$2:$A$9,0))</f>
        <v>Livingston</v>
      </c>
      <c r="E58" s="18" t="s">
        <v>204</v>
      </c>
      <c r="F58" s="21" t="str">
        <f aca="false">INDEX(Products!$B$2:$B$29,MATCH($E58,Products!$A$2:$A$29,0))</f>
        <v>Tylenol Extra Strength</v>
      </c>
      <c r="G58" s="21" t="str">
        <f aca="false">INDEX(Products!$C$2:$C$29,MATCH($E58,Products!$A$2:$A$29,0))</f>
        <v>Pain &amp; fever</v>
      </c>
      <c r="H58" s="18" t="s">
        <v>123</v>
      </c>
      <c r="I58" s="18" t="s">
        <v>392</v>
      </c>
      <c r="J58" s="18" t="str">
        <f aca="false">IF(H58="No","-",IF(I58="Available","Good supply",IF(I58="Low stock","Few left",IF(I58="Out of stock","None",IF(I58="Temporarily unavailable","Unavailable","Unknown")))))</f>
        <v>Good supply</v>
      </c>
      <c r="K58" s="18" t="s">
        <v>409</v>
      </c>
      <c r="L58" s="22"/>
      <c r="M58" s="18" t="str">
        <f aca="false">IF(L58="","",ROUND((Config!$B$2-L58)*1440,0))</f>
        <v/>
      </c>
      <c r="N58" s="18" t="str">
        <f aca="false">IF(K58="Staff verified",Config!$B$4,IF(OR(K58="Authorized student verified",K58="Multiple student reports",K58="Single student report"),Config!$B$3,""))</f>
        <v/>
      </c>
      <c r="O58" s="18" t="str">
        <f aca="false">IF(H58="No","n/a",IF(L58="","Unverified Data",IF(M58&gt;N58,"Stale report",K58)))</f>
        <v>Unverified Data</v>
      </c>
      <c r="P58" s="18" t="str">
        <f aca="false">IF(AND(H58="Yes",OR(I58="Available",I58="Low stock")),IF(O58="Stale report","Verify first","Yes"),"No")</f>
        <v>Yes</v>
      </c>
      <c r="Q58" s="18" t="str">
        <f aca="false">IF(H58="Yes","proposed_pending_approval","n/a")</f>
        <v>proposed_pending_approval</v>
      </c>
      <c r="R58" s="18" t="str">
        <f aca="false">IF(H58="Yes","Retail swipe (proposed) / RU Express / Cash or card","n/a")</f>
        <v>Retail swipe (proposed) / RU Express / Cash or card</v>
      </c>
      <c r="S58" s="21" t="str">
        <f aca="false">INDEX(Products!$I$2:$I$29,MATCH($E58,Products!$A$2:$A$29,0))</f>
        <v>1 package</v>
      </c>
      <c r="T58" s="18" t="n">
        <f aca="false">IF(H58="Yes",Config!$B$5,"")</f>
        <v>75</v>
      </c>
      <c r="U58" s="21" t="str">
        <f aca="false">INDEX(Products!$J$2:$J$29,MATCH($E58,Products!$A$2:$A$29,0))</f>
        <v>No</v>
      </c>
      <c r="V58" s="18" t="s">
        <v>394</v>
      </c>
    </row>
    <row r="59" customFormat="false" ht="15" hidden="false" customHeight="true" outlineLevel="0" collapsed="false">
      <c r="A59" s="18" t="s">
        <v>456</v>
      </c>
      <c r="B59" s="18" t="s">
        <v>145</v>
      </c>
      <c r="C59" s="21" t="str">
        <f aca="false">INDEX(Locations!$B$2:$B$9,MATCH($B59,Locations!$A$2:$A$9,0))</f>
        <v>Kilmer's Market</v>
      </c>
      <c r="D59" s="21" t="str">
        <f aca="false">INDEX(Locations!$C$2:$C$9,MATCH($B59,Locations!$A$2:$A$9,0))</f>
        <v>Livingston</v>
      </c>
      <c r="E59" s="18" t="s">
        <v>215</v>
      </c>
      <c r="F59" s="21" t="str">
        <f aca="false">INDEX(Products!$B$2:$B$29,MATCH($E59,Products!$A$2:$A$29,0))</f>
        <v>Advil</v>
      </c>
      <c r="G59" s="21" t="str">
        <f aca="false">INDEX(Products!$C$2:$C$29,MATCH($E59,Products!$A$2:$A$29,0))</f>
        <v>Pain &amp; fever</v>
      </c>
      <c r="H59" s="18" t="s">
        <v>123</v>
      </c>
      <c r="I59" s="18" t="s">
        <v>396</v>
      </c>
      <c r="J59" s="18" t="str">
        <f aca="false">IF(H59="No","-",IF(I59="Available","Good supply",IF(I59="Low stock","Few left",IF(I59="Out of stock","None",IF(I59="Temporarily unavailable","Unavailable","Unknown")))))</f>
        <v>None</v>
      </c>
      <c r="K59" s="18" t="s">
        <v>393</v>
      </c>
      <c r="L59" s="22" t="n">
        <v>46308.6111111111</v>
      </c>
      <c r="M59" s="18" t="n">
        <f aca="false">IF(L59="","",ROUND((Config!$B$2-L59)*1440,0))</f>
        <v>20</v>
      </c>
      <c r="N59" s="18" t="n">
        <f aca="false">IF(K59="Staff verified",Config!$B$4,IF(OR(K59="Authorized student verified",K59="Multiple student reports",K59="Single student report"),Config!$B$3,""))</f>
        <v>240</v>
      </c>
      <c r="O59" s="18" t="str">
        <f aca="false">IF(H59="No","n/a",IF(L59="","Unverified Data",IF(M59&gt;N59,"Stale report",K59)))</f>
        <v>Staff verified</v>
      </c>
      <c r="P59" s="18" t="str">
        <f aca="false">IF(AND(H59="Yes",OR(I59="Available",I59="Low stock")),IF(O59="Stale report","Verify first","Yes"),"No")</f>
        <v>No</v>
      </c>
      <c r="Q59" s="18" t="str">
        <f aca="false">IF(H59="Yes","proposed_pending_approval","n/a")</f>
        <v>proposed_pending_approval</v>
      </c>
      <c r="R59" s="18" t="str">
        <f aca="false">IF(H59="Yes","Retail swipe (proposed) / RU Express / Cash or card","n/a")</f>
        <v>Retail swipe (proposed) / RU Express / Cash or card</v>
      </c>
      <c r="S59" s="21" t="str">
        <f aca="false">INDEX(Products!$I$2:$I$29,MATCH($E59,Products!$A$2:$A$29,0))</f>
        <v>1 package</v>
      </c>
      <c r="T59" s="18" t="n">
        <f aca="false">IF(H59="Yes",Config!$B$5,"")</f>
        <v>75</v>
      </c>
      <c r="U59" s="21" t="str">
        <f aca="false">INDEX(Products!$J$2:$J$29,MATCH($E59,Products!$A$2:$A$29,0))</f>
        <v>No</v>
      </c>
      <c r="V59" s="18" t="s">
        <v>394</v>
      </c>
    </row>
    <row r="60" customFormat="false" ht="15" hidden="false" customHeight="true" outlineLevel="0" collapsed="false">
      <c r="A60" s="18" t="s">
        <v>457</v>
      </c>
      <c r="B60" s="18" t="s">
        <v>145</v>
      </c>
      <c r="C60" s="21" t="str">
        <f aca="false">INDEX(Locations!$B$2:$B$9,MATCH($B60,Locations!$A$2:$A$9,0))</f>
        <v>Kilmer's Market</v>
      </c>
      <c r="D60" s="21" t="str">
        <f aca="false">INDEX(Locations!$C$2:$C$9,MATCH($B60,Locations!$A$2:$A$9,0))</f>
        <v>Livingston</v>
      </c>
      <c r="E60" s="18" t="s">
        <v>220</v>
      </c>
      <c r="F60" s="21" t="str">
        <f aca="false">INDEX(Products!$B$2:$B$29,MATCH($E60,Products!$A$2:$A$29,0))</f>
        <v>Aleve</v>
      </c>
      <c r="G60" s="21" t="str">
        <f aca="false">INDEX(Products!$C$2:$C$29,MATCH($E60,Products!$A$2:$A$29,0))</f>
        <v>Pain &amp; fever</v>
      </c>
      <c r="H60" s="18" t="s">
        <v>123</v>
      </c>
      <c r="I60" s="18" t="s">
        <v>404</v>
      </c>
      <c r="J60" s="18" t="str">
        <f aca="false">IF(H60="No","-",IF(I60="Available","Good supply",IF(I60="Low stock","Few left",IF(I60="Out of stock","None",IF(I60="Temporarily unavailable","Unavailable","Unknown")))))</f>
        <v>Few left</v>
      </c>
      <c r="K60" s="18" t="s">
        <v>397</v>
      </c>
      <c r="L60" s="22" t="n">
        <v>46308.5944444445</v>
      </c>
      <c r="M60" s="18" t="n">
        <f aca="false">IF(L60="","",ROUND((Config!$B$2-L60)*1440,0))</f>
        <v>44</v>
      </c>
      <c r="N60" s="18" t="str">
        <f aca="false">IF(K60="Staff verified",Config!$B$4,IF(OR(K60="Authorized student verified",K60="Multiple student reports",K60="Single student report"),Config!$B$3,""))</f>
        <v/>
      </c>
      <c r="O60" s="18" t="str">
        <f aca="false">IF(H60="No","n/a",IF(L60="","Unverified Data",IF(M60&gt;N60,"Stale report",K60)))</f>
        <v>Verified student report</v>
      </c>
      <c r="P60" s="18" t="str">
        <f aca="false">IF(AND(H60="Yes",OR(I60="Available",I60="Low stock")),IF(O60="Stale report","Verify first","Yes"),"No")</f>
        <v>Yes</v>
      </c>
      <c r="Q60" s="18" t="str">
        <f aca="false">IF(H60="Yes","proposed_pending_approval","n/a")</f>
        <v>proposed_pending_approval</v>
      </c>
      <c r="R60" s="18" t="str">
        <f aca="false">IF(H60="Yes","Retail swipe (proposed) / RU Express / Cash or card","n/a")</f>
        <v>Retail swipe (proposed) / RU Express / Cash or card</v>
      </c>
      <c r="S60" s="21" t="str">
        <f aca="false">INDEX(Products!$I$2:$I$29,MATCH($E60,Products!$A$2:$A$29,0))</f>
        <v>1 package</v>
      </c>
      <c r="T60" s="18" t="n">
        <f aca="false">IF(H60="Yes",Config!$B$5,"")</f>
        <v>75</v>
      </c>
      <c r="U60" s="21" t="str">
        <f aca="false">INDEX(Products!$J$2:$J$29,MATCH($E60,Products!$A$2:$A$29,0))</f>
        <v>No</v>
      </c>
      <c r="V60" s="18" t="s">
        <v>394</v>
      </c>
    </row>
    <row r="61" customFormat="false" ht="15" hidden="false" customHeight="true" outlineLevel="0" collapsed="false">
      <c r="A61" s="18" t="s">
        <v>458</v>
      </c>
      <c r="B61" s="18" t="s">
        <v>145</v>
      </c>
      <c r="C61" s="21" t="str">
        <f aca="false">INDEX(Locations!$B$2:$B$9,MATCH($B61,Locations!$A$2:$A$9,0))</f>
        <v>Kilmer's Market</v>
      </c>
      <c r="D61" s="21" t="str">
        <f aca="false">INDEX(Locations!$C$2:$C$9,MATCH($B61,Locations!$A$2:$A$9,0))</f>
        <v>Livingston</v>
      </c>
      <c r="E61" s="18" t="s">
        <v>226</v>
      </c>
      <c r="F61" s="21" t="str">
        <f aca="false">INDEX(Products!$B$2:$B$29,MATCH($E61,Products!$A$2:$A$29,0))</f>
        <v>Excedrin Migraine</v>
      </c>
      <c r="G61" s="21" t="str">
        <f aca="false">INDEX(Products!$C$2:$C$29,MATCH($E61,Products!$A$2:$A$29,0))</f>
        <v>Pain &amp; fever</v>
      </c>
      <c r="H61" s="18" t="s">
        <v>123</v>
      </c>
      <c r="I61" s="18" t="s">
        <v>413</v>
      </c>
      <c r="J61" s="18" t="str">
        <f aca="false">IF(H61="No","-",IF(I61="Available","Good supply",IF(I61="Low stock","Few left",IF(I61="Out of stock","None",IF(I61="Temporarily unavailable","Unavailable","Unknown")))))</f>
        <v>Unknown</v>
      </c>
      <c r="K61" s="18" t="s">
        <v>409</v>
      </c>
      <c r="L61" s="22"/>
      <c r="M61" s="18" t="str">
        <f aca="false">IF(L61="","",ROUND((Config!$B$2-L61)*1440,0))</f>
        <v/>
      </c>
      <c r="N61" s="18" t="str">
        <f aca="false">IF(K61="Staff verified",Config!$B$4,IF(OR(K61="Authorized student verified",K61="Multiple student reports",K61="Single student report"),Config!$B$3,""))</f>
        <v/>
      </c>
      <c r="O61" s="18" t="str">
        <f aca="false">IF(H61="No","n/a",IF(L61="","Unverified Data",IF(M61&gt;N61,"Stale report",K61)))</f>
        <v>Unverified Data</v>
      </c>
      <c r="P61" s="18" t="str">
        <f aca="false">IF(AND(H61="Yes",OR(I61="Available",I61="Low stock")),IF(O61="Stale report","Verify first","Yes"),"No")</f>
        <v>No</v>
      </c>
      <c r="Q61" s="18" t="str">
        <f aca="false">IF(H61="Yes","proposed_pending_approval","n/a")</f>
        <v>proposed_pending_approval</v>
      </c>
      <c r="R61" s="18" t="str">
        <f aca="false">IF(H61="Yes","Retail swipe (proposed) / RU Express / Cash or card","n/a")</f>
        <v>Retail swipe (proposed) / RU Express / Cash or card</v>
      </c>
      <c r="S61" s="21" t="str">
        <f aca="false">INDEX(Products!$I$2:$I$29,MATCH($E61,Products!$A$2:$A$29,0))</f>
        <v>1 package</v>
      </c>
      <c r="T61" s="18" t="n">
        <f aca="false">IF(H61="Yes",Config!$B$5,"")</f>
        <v>75</v>
      </c>
      <c r="U61" s="21" t="str">
        <f aca="false">INDEX(Products!$J$2:$J$29,MATCH($E61,Products!$A$2:$A$29,0))</f>
        <v>No</v>
      </c>
      <c r="V61" s="18" t="s">
        <v>394</v>
      </c>
    </row>
    <row r="62" customFormat="false" ht="15" hidden="false" customHeight="true" outlineLevel="0" collapsed="false">
      <c r="A62" s="18" t="s">
        <v>459</v>
      </c>
      <c r="B62" s="18" t="s">
        <v>145</v>
      </c>
      <c r="C62" s="21" t="str">
        <f aca="false">INDEX(Locations!$B$2:$B$9,MATCH($B62,Locations!$A$2:$A$9,0))</f>
        <v>Kilmer's Market</v>
      </c>
      <c r="D62" s="21" t="str">
        <f aca="false">INDEX(Locations!$C$2:$C$9,MATCH($B62,Locations!$A$2:$A$9,0))</f>
        <v>Livingston</v>
      </c>
      <c r="E62" s="18" t="s">
        <v>232</v>
      </c>
      <c r="F62" s="21" t="str">
        <f aca="false">INDEX(Products!$B$2:$B$29,MATCH($E62,Products!$A$2:$A$29,0))</f>
        <v>Halls Mentho-Lyptus</v>
      </c>
      <c r="G62" s="21" t="str">
        <f aca="false">INDEX(Products!$C$2:$C$29,MATCH($E62,Products!$A$2:$A$29,0))</f>
        <v>Cold &amp; cough</v>
      </c>
      <c r="H62" s="18" t="s">
        <v>123</v>
      </c>
      <c r="I62" s="18" t="s">
        <v>404</v>
      </c>
      <c r="J62" s="18" t="str">
        <f aca="false">IF(H62="No","-",IF(I62="Available","Good supply",IF(I62="Low stock","Few left",IF(I62="Out of stock","None",IF(I62="Temporarily unavailable","Unavailable","Unknown")))))</f>
        <v>Few left</v>
      </c>
      <c r="K62" s="18" t="s">
        <v>409</v>
      </c>
      <c r="L62" s="22"/>
      <c r="M62" s="18" t="str">
        <f aca="false">IF(L62="","",ROUND((Config!$B$2-L62)*1440,0))</f>
        <v/>
      </c>
      <c r="N62" s="18" t="str">
        <f aca="false">IF(K62="Staff verified",Config!$B$4,IF(OR(K62="Authorized student verified",K62="Multiple student reports",K62="Single student report"),Config!$B$3,""))</f>
        <v/>
      </c>
      <c r="O62" s="18" t="str">
        <f aca="false">IF(H62="No","n/a",IF(L62="","Unverified Data",IF(M62&gt;N62,"Stale report",K62)))</f>
        <v>Unverified Data</v>
      </c>
      <c r="P62" s="18" t="str">
        <f aca="false">IF(AND(H62="Yes",OR(I62="Available",I62="Low stock")),IF(O62="Stale report","Verify first","Yes"),"No")</f>
        <v>Yes</v>
      </c>
      <c r="Q62" s="18" t="str">
        <f aca="false">IF(H62="Yes","proposed_pending_approval","n/a")</f>
        <v>proposed_pending_approval</v>
      </c>
      <c r="R62" s="18" t="str">
        <f aca="false">IF(H62="Yes","Retail swipe (proposed) / RU Express / Cash or card","n/a")</f>
        <v>Retail swipe (proposed) / RU Express / Cash or card</v>
      </c>
      <c r="S62" s="21" t="str">
        <f aca="false">INDEX(Products!$I$2:$I$29,MATCH($E62,Products!$A$2:$A$29,0))</f>
        <v>2 bags</v>
      </c>
      <c r="T62" s="18" t="n">
        <f aca="false">IF(H62="Yes",Config!$B$5,"")</f>
        <v>75</v>
      </c>
      <c r="U62" s="21" t="str">
        <f aca="false">INDEX(Products!$J$2:$J$29,MATCH($E62,Products!$A$2:$A$29,0))</f>
        <v>No</v>
      </c>
      <c r="V62" s="18" t="s">
        <v>394</v>
      </c>
    </row>
    <row r="63" customFormat="false" ht="15" hidden="false" customHeight="true" outlineLevel="0" collapsed="false">
      <c r="A63" s="18" t="s">
        <v>460</v>
      </c>
      <c r="B63" s="18" t="s">
        <v>145</v>
      </c>
      <c r="C63" s="21" t="str">
        <f aca="false">INDEX(Locations!$B$2:$B$9,MATCH($B63,Locations!$A$2:$A$9,0))</f>
        <v>Kilmer's Market</v>
      </c>
      <c r="D63" s="21" t="str">
        <f aca="false">INDEX(Locations!$C$2:$C$9,MATCH($B63,Locations!$A$2:$A$9,0))</f>
        <v>Livingston</v>
      </c>
      <c r="E63" s="18" t="s">
        <v>240</v>
      </c>
      <c r="F63" s="21" t="str">
        <f aca="false">INDEX(Products!$B$2:$B$29,MATCH($E63,Products!$A$2:$A$29,0))</f>
        <v>Ricola Original Natural Herb</v>
      </c>
      <c r="G63" s="21" t="str">
        <f aca="false">INDEX(Products!$C$2:$C$29,MATCH($E63,Products!$A$2:$A$29,0))</f>
        <v>Cold &amp; cough</v>
      </c>
      <c r="H63" s="18" t="s">
        <v>123</v>
      </c>
      <c r="I63" s="18" t="s">
        <v>392</v>
      </c>
      <c r="J63" s="18" t="str">
        <f aca="false">IF(H63="No","-",IF(I63="Available","Good supply",IF(I63="Low stock","Few left",IF(I63="Out of stock","None",IF(I63="Temporarily unavailable","Unavailable","Unknown")))))</f>
        <v>Good supply</v>
      </c>
      <c r="K63" s="18" t="s">
        <v>397</v>
      </c>
      <c r="L63" s="22" t="n">
        <v>46308.6201388889</v>
      </c>
      <c r="M63" s="18" t="n">
        <f aca="false">IF(L63="","",ROUND((Config!$B$2-L63)*1440,0))</f>
        <v>7</v>
      </c>
      <c r="N63" s="18" t="str">
        <f aca="false">IF(K63="Staff verified",Config!$B$4,IF(OR(K63="Authorized student verified",K63="Multiple student reports",K63="Single student report"),Config!$B$3,""))</f>
        <v/>
      </c>
      <c r="O63" s="18" t="str">
        <f aca="false">IF(H63="No","n/a",IF(L63="","Unverified Data",IF(M63&gt;N63,"Stale report",K63)))</f>
        <v>Verified student report</v>
      </c>
      <c r="P63" s="18" t="str">
        <f aca="false">IF(AND(H63="Yes",OR(I63="Available",I63="Low stock")),IF(O63="Stale report","Verify first","Yes"),"No")</f>
        <v>Yes</v>
      </c>
      <c r="Q63" s="18" t="str">
        <f aca="false">IF(H63="Yes","proposed_pending_approval","n/a")</f>
        <v>proposed_pending_approval</v>
      </c>
      <c r="R63" s="18" t="str">
        <f aca="false">IF(H63="Yes","Retail swipe (proposed) / RU Express / Cash or card","n/a")</f>
        <v>Retail swipe (proposed) / RU Express / Cash or card</v>
      </c>
      <c r="S63" s="21" t="str">
        <f aca="false">INDEX(Products!$I$2:$I$29,MATCH($E63,Products!$A$2:$A$29,0))</f>
        <v>2 bags</v>
      </c>
      <c r="T63" s="18" t="n">
        <f aca="false">IF(H63="Yes",Config!$B$5,"")</f>
        <v>75</v>
      </c>
      <c r="U63" s="21" t="str">
        <f aca="false">INDEX(Products!$J$2:$J$29,MATCH($E63,Products!$A$2:$A$29,0))</f>
        <v>No</v>
      </c>
      <c r="V63" s="18" t="s">
        <v>394</v>
      </c>
    </row>
    <row r="64" customFormat="false" ht="15" hidden="false" customHeight="true" outlineLevel="0" collapsed="false">
      <c r="A64" s="18" t="s">
        <v>461</v>
      </c>
      <c r="B64" s="18" t="s">
        <v>145</v>
      </c>
      <c r="C64" s="21" t="str">
        <f aca="false">INDEX(Locations!$B$2:$B$9,MATCH($B64,Locations!$A$2:$A$9,0))</f>
        <v>Kilmer's Market</v>
      </c>
      <c r="D64" s="21" t="str">
        <f aca="false">INDEX(Locations!$C$2:$C$9,MATCH($B64,Locations!$A$2:$A$9,0))</f>
        <v>Livingston</v>
      </c>
      <c r="E64" s="18" t="s">
        <v>245</v>
      </c>
      <c r="F64" s="21" t="str">
        <f aca="false">INDEX(Products!$B$2:$B$29,MATCH($E64,Products!$A$2:$A$29,0))</f>
        <v>Chloraseptic Sore Throat Spray</v>
      </c>
      <c r="G64" s="21" t="str">
        <f aca="false">INDEX(Products!$C$2:$C$29,MATCH($E64,Products!$A$2:$A$29,0))</f>
        <v>Cold &amp; cough</v>
      </c>
      <c r="H64" s="18" t="s">
        <v>123</v>
      </c>
      <c r="I64" s="18" t="s">
        <v>392</v>
      </c>
      <c r="J64" s="18" t="str">
        <f aca="false">IF(H64="No","-",IF(I64="Available","Good supply",IF(I64="Low stock","Few left",IF(I64="Out of stock","None",IF(I64="Temporarily unavailable","Unavailable","Unknown")))))</f>
        <v>Good supply</v>
      </c>
      <c r="K64" s="18" t="s">
        <v>393</v>
      </c>
      <c r="L64" s="22" t="n">
        <v>46308.4736111111</v>
      </c>
      <c r="M64" s="18" t="n">
        <f aca="false">IF(L64="","",ROUND((Config!$B$2-L64)*1440,0))</f>
        <v>218</v>
      </c>
      <c r="N64" s="18" t="n">
        <f aca="false">IF(K64="Staff verified",Config!$B$4,IF(OR(K64="Authorized student verified",K64="Multiple student reports",K64="Single student report"),Config!$B$3,""))</f>
        <v>240</v>
      </c>
      <c r="O64" s="18" t="str">
        <f aca="false">IF(H64="No","n/a",IF(L64="","Unverified Data",IF(M64&gt;N64,"Stale report",K64)))</f>
        <v>Staff verified</v>
      </c>
      <c r="P64" s="18" t="str">
        <f aca="false">IF(AND(H64="Yes",OR(I64="Available",I64="Low stock")),IF(O64="Stale report","Verify first","Yes"),"No")</f>
        <v>Yes</v>
      </c>
      <c r="Q64" s="18" t="str">
        <f aca="false">IF(H64="Yes","proposed_pending_approval","n/a")</f>
        <v>proposed_pending_approval</v>
      </c>
      <c r="R64" s="18" t="str">
        <f aca="false">IF(H64="Yes","Retail swipe (proposed) / RU Express / Cash or card","n/a")</f>
        <v>Retail swipe (proposed) / RU Express / Cash or card</v>
      </c>
      <c r="S64" s="21" t="str">
        <f aca="false">INDEX(Products!$I$2:$I$29,MATCH($E64,Products!$A$2:$A$29,0))</f>
        <v>1 bottle</v>
      </c>
      <c r="T64" s="18" t="n">
        <f aca="false">IF(H64="Yes",Config!$B$5,"")</f>
        <v>75</v>
      </c>
      <c r="U64" s="21" t="str">
        <f aca="false">INDEX(Products!$J$2:$J$29,MATCH($E64,Products!$A$2:$A$29,0))</f>
        <v>No</v>
      </c>
      <c r="V64" s="18" t="s">
        <v>394</v>
      </c>
    </row>
    <row r="65" customFormat="false" ht="15" hidden="false" customHeight="true" outlineLevel="0" collapsed="false">
      <c r="A65" s="18" t="s">
        <v>462</v>
      </c>
      <c r="B65" s="18" t="s">
        <v>145</v>
      </c>
      <c r="C65" s="21" t="str">
        <f aca="false">INDEX(Locations!$B$2:$B$9,MATCH($B65,Locations!$A$2:$A$9,0))</f>
        <v>Kilmer's Market</v>
      </c>
      <c r="D65" s="21" t="str">
        <f aca="false">INDEX(Locations!$C$2:$C$9,MATCH($B65,Locations!$A$2:$A$9,0))</f>
        <v>Livingston</v>
      </c>
      <c r="E65" s="18" t="s">
        <v>251</v>
      </c>
      <c r="F65" s="21" t="str">
        <f aca="false">INDEX(Products!$B$2:$B$29,MATCH($E65,Products!$A$2:$A$29,0))</f>
        <v>Mucinex</v>
      </c>
      <c r="G65" s="21" t="str">
        <f aca="false">INDEX(Products!$C$2:$C$29,MATCH($E65,Products!$A$2:$A$29,0))</f>
        <v>Cold &amp; cough</v>
      </c>
      <c r="H65" s="18" t="s">
        <v>123</v>
      </c>
      <c r="I65" s="18" t="s">
        <v>392</v>
      </c>
      <c r="J65" s="18" t="str">
        <f aca="false">IF(H65="No","-",IF(I65="Available","Good supply",IF(I65="Low stock","Few left",IF(I65="Out of stock","None",IF(I65="Temporarily unavailable","Unavailable","Unknown")))))</f>
        <v>Good supply</v>
      </c>
      <c r="K65" s="18" t="s">
        <v>409</v>
      </c>
      <c r="L65" s="22"/>
      <c r="M65" s="18" t="str">
        <f aca="false">IF(L65="","",ROUND((Config!$B$2-L65)*1440,0))</f>
        <v/>
      </c>
      <c r="N65" s="18" t="str">
        <f aca="false">IF(K65="Staff verified",Config!$B$4,IF(OR(K65="Authorized student verified",K65="Multiple student reports",K65="Single student report"),Config!$B$3,""))</f>
        <v/>
      </c>
      <c r="O65" s="18" t="str">
        <f aca="false">IF(H65="No","n/a",IF(L65="","Unverified Data",IF(M65&gt;N65,"Stale report",K65)))</f>
        <v>Unverified Data</v>
      </c>
      <c r="P65" s="18" t="str">
        <f aca="false">IF(AND(H65="Yes",OR(I65="Available",I65="Low stock")),IF(O65="Stale report","Verify first","Yes"),"No")</f>
        <v>Yes</v>
      </c>
      <c r="Q65" s="18" t="str">
        <f aca="false">IF(H65="Yes","proposed_pending_approval","n/a")</f>
        <v>proposed_pending_approval</v>
      </c>
      <c r="R65" s="18" t="str">
        <f aca="false">IF(H65="Yes","Retail swipe (proposed) / RU Express / Cash or card","n/a")</f>
        <v>Retail swipe (proposed) / RU Express / Cash or card</v>
      </c>
      <c r="S65" s="21" t="str">
        <f aca="false">INDEX(Products!$I$2:$I$29,MATCH($E65,Products!$A$2:$A$29,0))</f>
        <v>1 package</v>
      </c>
      <c r="T65" s="18" t="n">
        <f aca="false">IF(H65="Yes",Config!$B$5,"")</f>
        <v>75</v>
      </c>
      <c r="U65" s="21" t="str">
        <f aca="false">INDEX(Products!$J$2:$J$29,MATCH($E65,Products!$A$2:$A$29,0))</f>
        <v>No</v>
      </c>
      <c r="V65" s="18" t="s">
        <v>394</v>
      </c>
    </row>
    <row r="66" customFormat="false" ht="15" hidden="false" customHeight="true" outlineLevel="0" collapsed="false">
      <c r="A66" s="18" t="s">
        <v>463</v>
      </c>
      <c r="B66" s="18" t="s">
        <v>145</v>
      </c>
      <c r="C66" s="21" t="str">
        <f aca="false">INDEX(Locations!$B$2:$B$9,MATCH($B66,Locations!$A$2:$A$9,0))</f>
        <v>Kilmer's Market</v>
      </c>
      <c r="D66" s="21" t="str">
        <f aca="false">INDEX(Locations!$C$2:$C$9,MATCH($B66,Locations!$A$2:$A$9,0))</f>
        <v>Livingston</v>
      </c>
      <c r="E66" s="18" t="s">
        <v>257</v>
      </c>
      <c r="F66" s="21" t="str">
        <f aca="false">INDEX(Products!$B$2:$B$29,MATCH($E66,Products!$A$2:$A$29,0))</f>
        <v>Robitussin DM</v>
      </c>
      <c r="G66" s="21" t="str">
        <f aca="false">INDEX(Products!$C$2:$C$29,MATCH($E66,Products!$A$2:$A$29,0))</f>
        <v>Cold &amp; cough</v>
      </c>
      <c r="H66" s="18" t="s">
        <v>123</v>
      </c>
      <c r="I66" s="18" t="s">
        <v>392</v>
      </c>
      <c r="J66" s="18" t="str">
        <f aca="false">IF(H66="No","-",IF(I66="Available","Good supply",IF(I66="Low stock","Few left",IF(I66="Out of stock","None",IF(I66="Temporarily unavailable","Unavailable","Unknown")))))</f>
        <v>Good supply</v>
      </c>
      <c r="K66" s="18" t="s">
        <v>397</v>
      </c>
      <c r="L66" s="22" t="n">
        <v>46308.51875</v>
      </c>
      <c r="M66" s="18" t="n">
        <f aca="false">IF(L66="","",ROUND((Config!$B$2-L66)*1440,0))</f>
        <v>153</v>
      </c>
      <c r="N66" s="18" t="str">
        <f aca="false">IF(K66="Staff verified",Config!$B$4,IF(OR(K66="Authorized student verified",K66="Multiple student reports",K66="Single student report"),Config!$B$3,""))</f>
        <v/>
      </c>
      <c r="O66" s="18" t="str">
        <f aca="false">IF(H66="No","n/a",IF(L66="","Unverified Data",IF(M66&gt;N66,"Stale report",K66)))</f>
        <v>Verified student report</v>
      </c>
      <c r="P66" s="18" t="str">
        <f aca="false">IF(AND(H66="Yes",OR(I66="Available",I66="Low stock")),IF(O66="Stale report","Verify first","Yes"),"No")</f>
        <v>Yes</v>
      </c>
      <c r="Q66" s="18" t="str">
        <f aca="false">IF(H66="Yes","proposed_pending_approval","n/a")</f>
        <v>proposed_pending_approval</v>
      </c>
      <c r="R66" s="18" t="str">
        <f aca="false">IF(H66="Yes","Retail swipe (proposed) / RU Express / Cash or card","n/a")</f>
        <v>Retail swipe (proposed) / RU Express / Cash or card</v>
      </c>
      <c r="S66" s="21" t="str">
        <f aca="false">INDEX(Products!$I$2:$I$29,MATCH($E66,Products!$A$2:$A$29,0))</f>
        <v>1 bottle</v>
      </c>
      <c r="T66" s="18" t="n">
        <f aca="false">IF(H66="Yes",Config!$B$5,"")</f>
        <v>75</v>
      </c>
      <c r="U66" s="21" t="str">
        <f aca="false">INDEX(Products!$J$2:$J$29,MATCH($E66,Products!$A$2:$A$29,0))</f>
        <v>No</v>
      </c>
      <c r="V66" s="18" t="s">
        <v>394</v>
      </c>
    </row>
    <row r="67" customFormat="false" ht="15" hidden="false" customHeight="true" outlineLevel="0" collapsed="false">
      <c r="A67" s="18" t="s">
        <v>464</v>
      </c>
      <c r="B67" s="18" t="s">
        <v>145</v>
      </c>
      <c r="C67" s="21" t="str">
        <f aca="false">INDEX(Locations!$B$2:$B$9,MATCH($B67,Locations!$A$2:$A$9,0))</f>
        <v>Kilmer's Market</v>
      </c>
      <c r="D67" s="21" t="str">
        <f aca="false">INDEX(Locations!$C$2:$C$9,MATCH($B67,Locations!$A$2:$A$9,0))</f>
        <v>Livingston</v>
      </c>
      <c r="E67" s="18" t="s">
        <v>263</v>
      </c>
      <c r="F67" s="21" t="str">
        <f aca="false">INDEX(Products!$B$2:$B$29,MATCH($E67,Products!$A$2:$A$29,0))</f>
        <v>Simply Saline Nasal Mist</v>
      </c>
      <c r="G67" s="21" t="str">
        <f aca="false">INDEX(Products!$C$2:$C$29,MATCH($E67,Products!$A$2:$A$29,0))</f>
        <v>Cold &amp; cough</v>
      </c>
      <c r="H67" s="18" t="s">
        <v>123</v>
      </c>
      <c r="I67" s="18" t="s">
        <v>392</v>
      </c>
      <c r="J67" s="18" t="str">
        <f aca="false">IF(H67="No","-",IF(I67="Available","Good supply",IF(I67="Low stock","Few left",IF(I67="Out of stock","None",IF(I67="Temporarily unavailable","Unavailable","Unknown")))))</f>
        <v>Good supply</v>
      </c>
      <c r="K67" s="18" t="s">
        <v>393</v>
      </c>
      <c r="L67" s="22" t="n">
        <v>46308.6034722222</v>
      </c>
      <c r="M67" s="18" t="n">
        <f aca="false">IF(L67="","",ROUND((Config!$B$2-L67)*1440,0))</f>
        <v>31</v>
      </c>
      <c r="N67" s="18" t="n">
        <f aca="false">IF(K67="Staff verified",Config!$B$4,IF(OR(K67="Authorized student verified",K67="Multiple student reports",K67="Single student report"),Config!$B$3,""))</f>
        <v>240</v>
      </c>
      <c r="O67" s="18" t="str">
        <f aca="false">IF(H67="No","n/a",IF(L67="","Unverified Data",IF(M67&gt;N67,"Stale report",K67)))</f>
        <v>Staff verified</v>
      </c>
      <c r="P67" s="18" t="str">
        <f aca="false">IF(AND(H67="Yes",OR(I67="Available",I67="Low stock")),IF(O67="Stale report","Verify first","Yes"),"No")</f>
        <v>Yes</v>
      </c>
      <c r="Q67" s="18" t="str">
        <f aca="false">IF(H67="Yes","proposed_pending_approval","n/a")</f>
        <v>proposed_pending_approval</v>
      </c>
      <c r="R67" s="18" t="str">
        <f aca="false">IF(H67="Yes","Retail swipe (proposed) / RU Express / Cash or card","n/a")</f>
        <v>Retail swipe (proposed) / RU Express / Cash or card</v>
      </c>
      <c r="S67" s="21" t="str">
        <f aca="false">INDEX(Products!$I$2:$I$29,MATCH($E67,Products!$A$2:$A$29,0))</f>
        <v>1 bottle</v>
      </c>
      <c r="T67" s="18" t="n">
        <f aca="false">IF(H67="Yes",Config!$B$5,"")</f>
        <v>75</v>
      </c>
      <c r="U67" s="21" t="str">
        <f aca="false">INDEX(Products!$J$2:$J$29,MATCH($E67,Products!$A$2:$A$29,0))</f>
        <v>No</v>
      </c>
      <c r="V67" s="18" t="s">
        <v>394</v>
      </c>
    </row>
    <row r="68" customFormat="false" ht="15" hidden="false" customHeight="true" outlineLevel="0" collapsed="false">
      <c r="A68" s="18" t="s">
        <v>465</v>
      </c>
      <c r="B68" s="18" t="s">
        <v>145</v>
      </c>
      <c r="C68" s="21" t="str">
        <f aca="false">INDEX(Locations!$B$2:$B$9,MATCH($B68,Locations!$A$2:$A$9,0))</f>
        <v>Kilmer's Market</v>
      </c>
      <c r="D68" s="21" t="str">
        <f aca="false">INDEX(Locations!$C$2:$C$9,MATCH($B68,Locations!$A$2:$A$9,0))</f>
        <v>Livingston</v>
      </c>
      <c r="E68" s="18" t="s">
        <v>268</v>
      </c>
      <c r="F68" s="21" t="str">
        <f aca="false">INDEX(Products!$B$2:$B$29,MATCH($E68,Products!$A$2:$A$29,0))</f>
        <v>Claritin</v>
      </c>
      <c r="G68" s="21" t="str">
        <f aca="false">INDEX(Products!$C$2:$C$29,MATCH($E68,Products!$A$2:$A$29,0))</f>
        <v>Allergy</v>
      </c>
      <c r="H68" s="18" t="s">
        <v>123</v>
      </c>
      <c r="I68" s="18" t="s">
        <v>466</v>
      </c>
      <c r="J68" s="18" t="str">
        <f aca="false">IF(H68="No","-",IF(I68="Available","Good supply",IF(I68="Low stock","Few left",IF(I68="Out of stock","None",IF(I68="Temporarily unavailable","Unavailable","Unknown")))))</f>
        <v>Unavailable</v>
      </c>
      <c r="K68" s="18" t="s">
        <v>397</v>
      </c>
      <c r="L68" s="22" t="n">
        <v>46308.6097222222</v>
      </c>
      <c r="M68" s="18" t="n">
        <f aca="false">IF(L68="","",ROUND((Config!$B$2-L68)*1440,0))</f>
        <v>22</v>
      </c>
      <c r="N68" s="18" t="str">
        <f aca="false">IF(K68="Staff verified",Config!$B$4,IF(OR(K68="Authorized student verified",K68="Multiple student reports",K68="Single student report"),Config!$B$3,""))</f>
        <v/>
      </c>
      <c r="O68" s="18" t="str">
        <f aca="false">IF(H68="No","n/a",IF(L68="","Unverified Data",IF(M68&gt;N68,"Stale report",K68)))</f>
        <v>Verified student report</v>
      </c>
      <c r="P68" s="18" t="str">
        <f aca="false">IF(AND(H68="Yes",OR(I68="Available",I68="Low stock")),IF(O68="Stale report","Verify first","Yes"),"No")</f>
        <v>No</v>
      </c>
      <c r="Q68" s="18" t="str">
        <f aca="false">IF(H68="Yes","proposed_pending_approval","n/a")</f>
        <v>proposed_pending_approval</v>
      </c>
      <c r="R68" s="18" t="str">
        <f aca="false">IF(H68="Yes","Retail swipe (proposed) / RU Express / Cash or card","n/a")</f>
        <v>Retail swipe (proposed) / RU Express / Cash or card</v>
      </c>
      <c r="S68" s="21" t="str">
        <f aca="false">INDEX(Products!$I$2:$I$29,MATCH($E68,Products!$A$2:$A$29,0))</f>
        <v>1 package</v>
      </c>
      <c r="T68" s="18" t="n">
        <f aca="false">IF(H68="Yes",Config!$B$5,"")</f>
        <v>75</v>
      </c>
      <c r="U68" s="21" t="str">
        <f aca="false">INDEX(Products!$J$2:$J$29,MATCH($E68,Products!$A$2:$A$29,0))</f>
        <v>No</v>
      </c>
      <c r="V68" s="18" t="s">
        <v>394</v>
      </c>
    </row>
    <row r="69" customFormat="false" ht="15" hidden="false" customHeight="true" outlineLevel="0" collapsed="false">
      <c r="A69" s="18" t="s">
        <v>467</v>
      </c>
      <c r="B69" s="18" t="s">
        <v>145</v>
      </c>
      <c r="C69" s="21" t="str">
        <f aca="false">INDEX(Locations!$B$2:$B$9,MATCH($B69,Locations!$A$2:$A$9,0))</f>
        <v>Kilmer's Market</v>
      </c>
      <c r="D69" s="21" t="str">
        <f aca="false">INDEX(Locations!$C$2:$C$9,MATCH($B69,Locations!$A$2:$A$9,0))</f>
        <v>Livingston</v>
      </c>
      <c r="E69" s="18" t="s">
        <v>275</v>
      </c>
      <c r="F69" s="21" t="str">
        <f aca="false">INDEX(Products!$B$2:$B$29,MATCH($E69,Products!$A$2:$A$29,0))</f>
        <v>Zyrtec</v>
      </c>
      <c r="G69" s="21" t="str">
        <f aca="false">INDEX(Products!$C$2:$C$29,MATCH($E69,Products!$A$2:$A$29,0))</f>
        <v>Allergy</v>
      </c>
      <c r="H69" s="18" t="s">
        <v>123</v>
      </c>
      <c r="I69" s="18" t="s">
        <v>392</v>
      </c>
      <c r="J69" s="18" t="str">
        <f aca="false">IF(H69="No","-",IF(I69="Available","Good supply",IF(I69="Low stock","Few left",IF(I69="Out of stock","None",IF(I69="Temporarily unavailable","Unavailable","Unknown")))))</f>
        <v>Good supply</v>
      </c>
      <c r="K69" s="18" t="s">
        <v>393</v>
      </c>
      <c r="L69" s="22" t="n">
        <v>46308.5166666667</v>
      </c>
      <c r="M69" s="18" t="n">
        <f aca="false">IF(L69="","",ROUND((Config!$B$2-L69)*1440,0))</f>
        <v>156</v>
      </c>
      <c r="N69" s="18" t="n">
        <f aca="false">IF(K69="Staff verified",Config!$B$4,IF(OR(K69="Authorized student verified",K69="Multiple student reports",K69="Single student report"),Config!$B$3,""))</f>
        <v>240</v>
      </c>
      <c r="O69" s="18" t="str">
        <f aca="false">IF(H69="No","n/a",IF(L69="","Unverified Data",IF(M69&gt;N69,"Stale report",K69)))</f>
        <v>Staff verified</v>
      </c>
      <c r="P69" s="18" t="str">
        <f aca="false">IF(AND(H69="Yes",OR(I69="Available",I69="Low stock")),IF(O69="Stale report","Verify first","Yes"),"No")</f>
        <v>Yes</v>
      </c>
      <c r="Q69" s="18" t="str">
        <f aca="false">IF(H69="Yes","proposed_pending_approval","n/a")</f>
        <v>proposed_pending_approval</v>
      </c>
      <c r="R69" s="18" t="str">
        <f aca="false">IF(H69="Yes","Retail swipe (proposed) / RU Express / Cash or card","n/a")</f>
        <v>Retail swipe (proposed) / RU Express / Cash or card</v>
      </c>
      <c r="S69" s="21" t="str">
        <f aca="false">INDEX(Products!$I$2:$I$29,MATCH($E69,Products!$A$2:$A$29,0))</f>
        <v>1 package</v>
      </c>
      <c r="T69" s="18" t="n">
        <f aca="false">IF(H69="Yes",Config!$B$5,"")</f>
        <v>75</v>
      </c>
      <c r="U69" s="21" t="str">
        <f aca="false">INDEX(Products!$J$2:$J$29,MATCH($E69,Products!$A$2:$A$29,0))</f>
        <v>No</v>
      </c>
      <c r="V69" s="18" t="s">
        <v>394</v>
      </c>
    </row>
    <row r="70" customFormat="false" ht="15" hidden="false" customHeight="true" outlineLevel="0" collapsed="false">
      <c r="A70" s="18" t="s">
        <v>468</v>
      </c>
      <c r="B70" s="18" t="s">
        <v>145</v>
      </c>
      <c r="C70" s="21" t="str">
        <f aca="false">INDEX(Locations!$B$2:$B$9,MATCH($B70,Locations!$A$2:$A$9,0))</f>
        <v>Kilmer's Market</v>
      </c>
      <c r="D70" s="21" t="str">
        <f aca="false">INDEX(Locations!$C$2:$C$9,MATCH($B70,Locations!$A$2:$A$9,0))</f>
        <v>Livingston</v>
      </c>
      <c r="E70" s="18" t="s">
        <v>281</v>
      </c>
      <c r="F70" s="21" t="str">
        <f aca="false">INDEX(Products!$B$2:$B$29,MATCH($E70,Products!$A$2:$A$29,0))</f>
        <v>Benadryl</v>
      </c>
      <c r="G70" s="21" t="str">
        <f aca="false">INDEX(Products!$C$2:$C$29,MATCH($E70,Products!$A$2:$A$29,0))</f>
        <v>Allergy</v>
      </c>
      <c r="H70" s="18" t="s">
        <v>123</v>
      </c>
      <c r="I70" s="18" t="s">
        <v>392</v>
      </c>
      <c r="J70" s="18" t="str">
        <f aca="false">IF(H70="No","-",IF(I70="Available","Good supply",IF(I70="Low stock","Few left",IF(I70="Out of stock","None",IF(I70="Temporarily unavailable","Unavailable","Unknown")))))</f>
        <v>Good supply</v>
      </c>
      <c r="K70" s="18" t="s">
        <v>397</v>
      </c>
      <c r="L70" s="22" t="n">
        <v>46308.5930555556</v>
      </c>
      <c r="M70" s="18" t="n">
        <f aca="false">IF(L70="","",ROUND((Config!$B$2-L70)*1440,0))</f>
        <v>46</v>
      </c>
      <c r="N70" s="18" t="str">
        <f aca="false">IF(K70="Staff verified",Config!$B$4,IF(OR(K70="Authorized student verified",K70="Multiple student reports",K70="Single student report"),Config!$B$3,""))</f>
        <v/>
      </c>
      <c r="O70" s="18" t="str">
        <f aca="false">IF(H70="No","n/a",IF(L70="","Unverified Data",IF(M70&gt;N70,"Stale report",K70)))</f>
        <v>Verified student report</v>
      </c>
      <c r="P70" s="18" t="str">
        <f aca="false">IF(AND(H70="Yes",OR(I70="Available",I70="Low stock")),IF(O70="Stale report","Verify first","Yes"),"No")</f>
        <v>Yes</v>
      </c>
      <c r="Q70" s="18" t="str">
        <f aca="false">IF(H70="Yes","proposed_pending_approval","n/a")</f>
        <v>proposed_pending_approval</v>
      </c>
      <c r="R70" s="18" t="str">
        <f aca="false">IF(H70="Yes","Retail swipe (proposed) / RU Express / Cash or card","n/a")</f>
        <v>Retail swipe (proposed) / RU Express / Cash or card</v>
      </c>
      <c r="S70" s="21" t="str">
        <f aca="false">INDEX(Products!$I$2:$I$29,MATCH($E70,Products!$A$2:$A$29,0))</f>
        <v>1 package</v>
      </c>
      <c r="T70" s="18" t="n">
        <f aca="false">IF(H70="Yes",Config!$B$5,"")</f>
        <v>75</v>
      </c>
      <c r="U70" s="21" t="str">
        <f aca="false">INDEX(Products!$J$2:$J$29,MATCH($E70,Products!$A$2:$A$29,0))</f>
        <v>No</v>
      </c>
      <c r="V70" s="18" t="s">
        <v>394</v>
      </c>
    </row>
    <row r="71" customFormat="false" ht="15" hidden="false" customHeight="true" outlineLevel="0" collapsed="false">
      <c r="A71" s="18" t="s">
        <v>469</v>
      </c>
      <c r="B71" s="18" t="s">
        <v>145</v>
      </c>
      <c r="C71" s="21" t="str">
        <f aca="false">INDEX(Locations!$B$2:$B$9,MATCH($B71,Locations!$A$2:$A$9,0))</f>
        <v>Kilmer's Market</v>
      </c>
      <c r="D71" s="21" t="str">
        <f aca="false">INDEX(Locations!$C$2:$C$9,MATCH($B71,Locations!$A$2:$A$9,0))</f>
        <v>Livingston</v>
      </c>
      <c r="E71" s="18" t="s">
        <v>287</v>
      </c>
      <c r="F71" s="21" t="str">
        <f aca="false">INDEX(Products!$B$2:$B$29,MATCH($E71,Products!$A$2:$A$29,0))</f>
        <v>Tums</v>
      </c>
      <c r="G71" s="21" t="str">
        <f aca="false">INDEX(Products!$C$2:$C$29,MATCH($E71,Products!$A$2:$A$29,0))</f>
        <v>Digestive</v>
      </c>
      <c r="H71" s="18" t="s">
        <v>123</v>
      </c>
      <c r="I71" s="18" t="s">
        <v>392</v>
      </c>
      <c r="J71" s="18" t="str">
        <f aca="false">IF(H71="No","-",IF(I71="Available","Good supply",IF(I71="Low stock","Few left",IF(I71="Out of stock","None",IF(I71="Temporarily unavailable","Unavailable","Unknown")))))</f>
        <v>Good supply</v>
      </c>
      <c r="K71" s="18" t="s">
        <v>393</v>
      </c>
      <c r="L71" s="22" t="n">
        <v>46308.5416666667</v>
      </c>
      <c r="M71" s="18" t="n">
        <f aca="false">IF(L71="","",ROUND((Config!$B$2-L71)*1440,0))</f>
        <v>120</v>
      </c>
      <c r="N71" s="18" t="n">
        <f aca="false">IF(K71="Staff verified",Config!$B$4,IF(OR(K71="Authorized student verified",K71="Multiple student reports",K71="Single student report"),Config!$B$3,""))</f>
        <v>240</v>
      </c>
      <c r="O71" s="18" t="str">
        <f aca="false">IF(H71="No","n/a",IF(L71="","Unverified Data",IF(M71&gt;N71,"Stale report",K71)))</f>
        <v>Staff verified</v>
      </c>
      <c r="P71" s="18" t="str">
        <f aca="false">IF(AND(H71="Yes",OR(I71="Available",I71="Low stock")),IF(O71="Stale report","Verify first","Yes"),"No")</f>
        <v>Yes</v>
      </c>
      <c r="Q71" s="18" t="str">
        <f aca="false">IF(H71="Yes","proposed_pending_approval","n/a")</f>
        <v>proposed_pending_approval</v>
      </c>
      <c r="R71" s="18" t="str">
        <f aca="false">IF(H71="Yes","Retail swipe (proposed) / RU Express / Cash or card","n/a")</f>
        <v>Retail swipe (proposed) / RU Express / Cash or card</v>
      </c>
      <c r="S71" s="21" t="str">
        <f aca="false">INDEX(Products!$I$2:$I$29,MATCH($E71,Products!$A$2:$A$29,0))</f>
        <v>1 package</v>
      </c>
      <c r="T71" s="18" t="n">
        <f aca="false">IF(H71="Yes",Config!$B$5,"")</f>
        <v>75</v>
      </c>
      <c r="U71" s="21" t="str">
        <f aca="false">INDEX(Products!$J$2:$J$29,MATCH($E71,Products!$A$2:$A$29,0))</f>
        <v>No</v>
      </c>
      <c r="V71" s="18" t="s">
        <v>394</v>
      </c>
    </row>
    <row r="72" customFormat="false" ht="15" hidden="false" customHeight="true" outlineLevel="0" collapsed="false">
      <c r="A72" s="18" t="s">
        <v>470</v>
      </c>
      <c r="B72" s="18" t="s">
        <v>145</v>
      </c>
      <c r="C72" s="21" t="str">
        <f aca="false">INDEX(Locations!$B$2:$B$9,MATCH($B72,Locations!$A$2:$A$9,0))</f>
        <v>Kilmer's Market</v>
      </c>
      <c r="D72" s="21" t="str">
        <f aca="false">INDEX(Locations!$C$2:$C$9,MATCH($B72,Locations!$A$2:$A$9,0))</f>
        <v>Livingston</v>
      </c>
      <c r="E72" s="18" t="s">
        <v>293</v>
      </c>
      <c r="F72" s="21" t="str">
        <f aca="false">INDEX(Products!$B$2:$B$29,MATCH($E72,Products!$A$2:$A$29,0))</f>
        <v>Pepto-Bismol</v>
      </c>
      <c r="G72" s="21" t="str">
        <f aca="false">INDEX(Products!$C$2:$C$29,MATCH($E72,Products!$A$2:$A$29,0))</f>
        <v>Digestive</v>
      </c>
      <c r="H72" s="18" t="s">
        <v>123</v>
      </c>
      <c r="I72" s="18" t="s">
        <v>392</v>
      </c>
      <c r="J72" s="18" t="str">
        <f aca="false">IF(H72="No","-",IF(I72="Available","Good supply",IF(I72="Low stock","Few left",IF(I72="Out of stock","None",IF(I72="Temporarily unavailable","Unavailable","Unknown")))))</f>
        <v>Good supply</v>
      </c>
      <c r="K72" s="18" t="s">
        <v>409</v>
      </c>
      <c r="L72" s="22"/>
      <c r="M72" s="18" t="str">
        <f aca="false">IF(L72="","",ROUND((Config!$B$2-L72)*1440,0))</f>
        <v/>
      </c>
      <c r="N72" s="18" t="str">
        <f aca="false">IF(K72="Staff verified",Config!$B$4,IF(OR(K72="Authorized student verified",K72="Multiple student reports",K72="Single student report"),Config!$B$3,""))</f>
        <v/>
      </c>
      <c r="O72" s="18" t="str">
        <f aca="false">IF(H72="No","n/a",IF(L72="","Unverified Data",IF(M72&gt;N72,"Stale report",K72)))</f>
        <v>Unverified Data</v>
      </c>
      <c r="P72" s="18" t="str">
        <f aca="false">IF(AND(H72="Yes",OR(I72="Available",I72="Low stock")),IF(O72="Stale report","Verify first","Yes"),"No")</f>
        <v>Yes</v>
      </c>
      <c r="Q72" s="18" t="str">
        <f aca="false">IF(H72="Yes","proposed_pending_approval","n/a")</f>
        <v>proposed_pending_approval</v>
      </c>
      <c r="R72" s="18" t="str">
        <f aca="false">IF(H72="Yes","Retail swipe (proposed) / RU Express / Cash or card","n/a")</f>
        <v>Retail swipe (proposed) / RU Express / Cash or card</v>
      </c>
      <c r="S72" s="21" t="str">
        <f aca="false">INDEX(Products!$I$2:$I$29,MATCH($E72,Products!$A$2:$A$29,0))</f>
        <v>1 package</v>
      </c>
      <c r="T72" s="18" t="n">
        <f aca="false">IF(H72="Yes",Config!$B$5,"")</f>
        <v>75</v>
      </c>
      <c r="U72" s="21" t="str">
        <f aca="false">INDEX(Products!$J$2:$J$29,MATCH($E72,Products!$A$2:$A$29,0))</f>
        <v>No</v>
      </c>
      <c r="V72" s="18" t="s">
        <v>394</v>
      </c>
    </row>
    <row r="73" customFormat="false" ht="15" hidden="false" customHeight="true" outlineLevel="0" collapsed="false">
      <c r="A73" s="18" t="s">
        <v>471</v>
      </c>
      <c r="B73" s="18" t="s">
        <v>145</v>
      </c>
      <c r="C73" s="21" t="str">
        <f aca="false">INDEX(Locations!$B$2:$B$9,MATCH($B73,Locations!$A$2:$A$9,0))</f>
        <v>Kilmer's Market</v>
      </c>
      <c r="D73" s="21" t="str">
        <f aca="false">INDEX(Locations!$C$2:$C$9,MATCH($B73,Locations!$A$2:$A$9,0))</f>
        <v>Livingston</v>
      </c>
      <c r="E73" s="18" t="s">
        <v>299</v>
      </c>
      <c r="F73" s="21" t="str">
        <f aca="false">INDEX(Products!$B$2:$B$29,MATCH($E73,Products!$A$2:$A$29,0))</f>
        <v>Imodium A-D</v>
      </c>
      <c r="G73" s="21" t="str">
        <f aca="false">INDEX(Products!$C$2:$C$29,MATCH($E73,Products!$A$2:$A$29,0))</f>
        <v>Digestive</v>
      </c>
      <c r="H73" s="18" t="s">
        <v>123</v>
      </c>
      <c r="I73" s="18" t="s">
        <v>404</v>
      </c>
      <c r="J73" s="18" t="str">
        <f aca="false">IF(H73="No","-",IF(I73="Available","Good supply",IF(I73="Low stock","Few left",IF(I73="Out of stock","None",IF(I73="Temporarily unavailable","Unavailable","Unknown")))))</f>
        <v>Few left</v>
      </c>
      <c r="K73" s="18" t="s">
        <v>397</v>
      </c>
      <c r="L73" s="22" t="n">
        <v>46308.5895833333</v>
      </c>
      <c r="M73" s="18" t="n">
        <f aca="false">IF(L73="","",ROUND((Config!$B$2-L73)*1440,0))</f>
        <v>51</v>
      </c>
      <c r="N73" s="18" t="str">
        <f aca="false">IF(K73="Staff verified",Config!$B$4,IF(OR(K73="Authorized student verified",K73="Multiple student reports",K73="Single student report"),Config!$B$3,""))</f>
        <v/>
      </c>
      <c r="O73" s="18" t="str">
        <f aca="false">IF(H73="No","n/a",IF(L73="","Unverified Data",IF(M73&gt;N73,"Stale report",K73)))</f>
        <v>Verified student report</v>
      </c>
      <c r="P73" s="18" t="str">
        <f aca="false">IF(AND(H73="Yes",OR(I73="Available",I73="Low stock")),IF(O73="Stale report","Verify first","Yes"),"No")</f>
        <v>Yes</v>
      </c>
      <c r="Q73" s="18" t="str">
        <f aca="false">IF(H73="Yes","proposed_pending_approval","n/a")</f>
        <v>proposed_pending_approval</v>
      </c>
      <c r="R73" s="18" t="str">
        <f aca="false">IF(H73="Yes","Retail swipe (proposed) / RU Express / Cash or card","n/a")</f>
        <v>Retail swipe (proposed) / RU Express / Cash or card</v>
      </c>
      <c r="S73" s="21" t="str">
        <f aca="false">INDEX(Products!$I$2:$I$29,MATCH($E73,Products!$A$2:$A$29,0))</f>
        <v>1 package</v>
      </c>
      <c r="T73" s="18" t="n">
        <f aca="false">IF(H73="Yes",Config!$B$5,"")</f>
        <v>75</v>
      </c>
      <c r="U73" s="21" t="str">
        <f aca="false">INDEX(Products!$J$2:$J$29,MATCH($E73,Products!$A$2:$A$29,0))</f>
        <v>No</v>
      </c>
      <c r="V73" s="18" t="s">
        <v>394</v>
      </c>
    </row>
    <row r="74" customFormat="false" ht="15" hidden="false" customHeight="true" outlineLevel="0" collapsed="false">
      <c r="A74" s="18" t="s">
        <v>472</v>
      </c>
      <c r="B74" s="18" t="s">
        <v>145</v>
      </c>
      <c r="C74" s="21" t="str">
        <f aca="false">INDEX(Locations!$B$2:$B$9,MATCH($B74,Locations!$A$2:$A$9,0))</f>
        <v>Kilmer's Market</v>
      </c>
      <c r="D74" s="21" t="str">
        <f aca="false">INDEX(Locations!$C$2:$C$9,MATCH($B74,Locations!$A$2:$A$9,0))</f>
        <v>Livingston</v>
      </c>
      <c r="E74" s="18" t="s">
        <v>305</v>
      </c>
      <c r="F74" s="21" t="str">
        <f aca="false">INDEX(Products!$B$2:$B$29,MATCH($E74,Products!$A$2:$A$29,0))</f>
        <v>Pedialyte</v>
      </c>
      <c r="G74" s="21" t="str">
        <f aca="false">INDEX(Products!$C$2:$C$29,MATCH($E74,Products!$A$2:$A$29,0))</f>
        <v>Hydration</v>
      </c>
      <c r="H74" s="18" t="s">
        <v>123</v>
      </c>
      <c r="I74" s="18" t="s">
        <v>392</v>
      </c>
      <c r="J74" s="18" t="str">
        <f aca="false">IF(H74="No","-",IF(I74="Available","Good supply",IF(I74="Low stock","Few left",IF(I74="Out of stock","None",IF(I74="Temporarily unavailable","Unavailable","Unknown")))))</f>
        <v>Good supply</v>
      </c>
      <c r="K74" s="18" t="s">
        <v>393</v>
      </c>
      <c r="L74" s="22" t="n">
        <v>46308.6006944445</v>
      </c>
      <c r="M74" s="18" t="n">
        <f aca="false">IF(L74="","",ROUND((Config!$B$2-L74)*1440,0))</f>
        <v>35</v>
      </c>
      <c r="N74" s="18" t="n">
        <f aca="false">IF(K74="Staff verified",Config!$B$4,IF(OR(K74="Authorized student verified",K74="Multiple student reports",K74="Single student report"),Config!$B$3,""))</f>
        <v>240</v>
      </c>
      <c r="O74" s="18" t="str">
        <f aca="false">IF(H74="No","n/a",IF(L74="","Unverified Data",IF(M74&gt;N74,"Stale report",K74)))</f>
        <v>Staff verified</v>
      </c>
      <c r="P74" s="18" t="str">
        <f aca="false">IF(AND(H74="Yes",OR(I74="Available",I74="Low stock")),IF(O74="Stale report","Verify first","Yes"),"No")</f>
        <v>Yes</v>
      </c>
      <c r="Q74" s="18" t="str">
        <f aca="false">IF(H74="Yes","proposed_pending_approval","n/a")</f>
        <v>proposed_pending_approval</v>
      </c>
      <c r="R74" s="18" t="str">
        <f aca="false">IF(H74="Yes","Retail swipe (proposed) / RU Express / Cash or card","n/a")</f>
        <v>Retail swipe (proposed) / RU Express / Cash or card</v>
      </c>
      <c r="S74" s="21" t="str">
        <f aca="false">INDEX(Products!$I$2:$I$29,MATCH($E74,Products!$A$2:$A$29,0))</f>
        <v>2 bottles</v>
      </c>
      <c r="T74" s="18" t="n">
        <f aca="false">IF(H74="Yes",Config!$B$5,"")</f>
        <v>75</v>
      </c>
      <c r="U74" s="21" t="str">
        <f aca="false">INDEX(Products!$J$2:$J$29,MATCH($E74,Products!$A$2:$A$29,0))</f>
        <v>No</v>
      </c>
      <c r="V74" s="18" t="s">
        <v>394</v>
      </c>
    </row>
    <row r="75" customFormat="false" ht="15" hidden="false" customHeight="true" outlineLevel="0" collapsed="false">
      <c r="A75" s="18" t="s">
        <v>473</v>
      </c>
      <c r="B75" s="18" t="s">
        <v>145</v>
      </c>
      <c r="C75" s="21" t="str">
        <f aca="false">INDEX(Locations!$B$2:$B$9,MATCH($B75,Locations!$A$2:$A$9,0))</f>
        <v>Kilmer's Market</v>
      </c>
      <c r="D75" s="21" t="str">
        <f aca="false">INDEX(Locations!$C$2:$C$9,MATCH($B75,Locations!$A$2:$A$9,0))</f>
        <v>Livingston</v>
      </c>
      <c r="E75" s="18" t="s">
        <v>312</v>
      </c>
      <c r="F75" s="21" t="str">
        <f aca="false">INDEX(Products!$B$2:$B$29,MATCH($E75,Products!$A$2:$A$29,0))</f>
        <v>Digital thermometer (brand varies)</v>
      </c>
      <c r="G75" s="21" t="str">
        <f aca="false">INDEX(Products!$C$2:$C$29,MATCH($E75,Products!$A$2:$A$29,0))</f>
        <v>Diagnostics</v>
      </c>
      <c r="H75" s="18" t="s">
        <v>123</v>
      </c>
      <c r="I75" s="18" t="s">
        <v>392</v>
      </c>
      <c r="J75" s="18" t="str">
        <f aca="false">IF(H75="No","-",IF(I75="Available","Good supply",IF(I75="Low stock","Few left",IF(I75="Out of stock","None",IF(I75="Temporarily unavailable","Unavailable","Unknown")))))</f>
        <v>Good supply</v>
      </c>
      <c r="K75" s="18" t="s">
        <v>409</v>
      </c>
      <c r="L75" s="22"/>
      <c r="M75" s="18" t="str">
        <f aca="false">IF(L75="","",ROUND((Config!$B$2-L75)*1440,0))</f>
        <v/>
      </c>
      <c r="N75" s="18" t="str">
        <f aca="false">IF(K75="Staff verified",Config!$B$4,IF(OR(K75="Authorized student verified",K75="Multiple student reports",K75="Single student report"),Config!$B$3,""))</f>
        <v/>
      </c>
      <c r="O75" s="18" t="str">
        <f aca="false">IF(H75="No","n/a",IF(L75="","Unverified Data",IF(M75&gt;N75,"Stale report",K75)))</f>
        <v>Unverified Data</v>
      </c>
      <c r="P75" s="18" t="str">
        <f aca="false">IF(AND(H75="Yes",OR(I75="Available",I75="Low stock")),IF(O75="Stale report","Verify first","Yes"),"No")</f>
        <v>Yes</v>
      </c>
      <c r="Q75" s="18" t="str">
        <f aca="false">IF(H75="Yes","proposed_pending_approval","n/a")</f>
        <v>proposed_pending_approval</v>
      </c>
      <c r="R75" s="18" t="str">
        <f aca="false">IF(H75="Yes","Retail swipe (proposed) / RU Express / Cash or card","n/a")</f>
        <v>Retail swipe (proposed) / RU Express / Cash or card</v>
      </c>
      <c r="S75" s="21" t="str">
        <f aca="false">INDEX(Products!$I$2:$I$29,MATCH($E75,Products!$A$2:$A$29,0))</f>
        <v>1 unit</v>
      </c>
      <c r="T75" s="18" t="n">
        <f aca="false">IF(H75="Yes",Config!$B$5,"")</f>
        <v>75</v>
      </c>
      <c r="U75" s="21" t="str">
        <f aca="false">INDEX(Products!$J$2:$J$29,MATCH($E75,Products!$A$2:$A$29,0))</f>
        <v>No</v>
      </c>
      <c r="V75" s="18" t="s">
        <v>394</v>
      </c>
    </row>
    <row r="76" customFormat="false" ht="15" hidden="false" customHeight="true" outlineLevel="0" collapsed="false">
      <c r="A76" s="18" t="s">
        <v>474</v>
      </c>
      <c r="B76" s="18" t="s">
        <v>145</v>
      </c>
      <c r="C76" s="21" t="str">
        <f aca="false">INDEX(Locations!$B$2:$B$9,MATCH($B76,Locations!$A$2:$A$9,0))</f>
        <v>Kilmer's Market</v>
      </c>
      <c r="D76" s="21" t="str">
        <f aca="false">INDEX(Locations!$C$2:$C$9,MATCH($B76,Locations!$A$2:$A$9,0))</f>
        <v>Livingston</v>
      </c>
      <c r="E76" s="18" t="s">
        <v>320</v>
      </c>
      <c r="F76" s="21" t="str">
        <f aca="false">INDEX(Products!$B$2:$B$29,MATCH($E76,Products!$A$2:$A$29,0))</f>
        <v>iHealth COVID-19 Antigen Rapid Test</v>
      </c>
      <c r="G76" s="21" t="str">
        <f aca="false">INDEX(Products!$C$2:$C$29,MATCH($E76,Products!$A$2:$A$29,0))</f>
        <v>Diagnostics</v>
      </c>
      <c r="H76" s="18" t="s">
        <v>123</v>
      </c>
      <c r="I76" s="18" t="s">
        <v>392</v>
      </c>
      <c r="J76" s="18" t="str">
        <f aca="false">IF(H76="No","-",IF(I76="Available","Good supply",IF(I76="Low stock","Few left",IF(I76="Out of stock","None",IF(I76="Temporarily unavailable","Unavailable","Unknown")))))</f>
        <v>Good supply</v>
      </c>
      <c r="K76" s="18" t="s">
        <v>409</v>
      </c>
      <c r="L76" s="22"/>
      <c r="M76" s="18" t="str">
        <f aca="false">IF(L76="","",ROUND((Config!$B$2-L76)*1440,0))</f>
        <v/>
      </c>
      <c r="N76" s="18" t="str">
        <f aca="false">IF(K76="Staff verified",Config!$B$4,IF(OR(K76="Authorized student verified",K76="Multiple student reports",K76="Single student report"),Config!$B$3,""))</f>
        <v/>
      </c>
      <c r="O76" s="18" t="str">
        <f aca="false">IF(H76="No","n/a",IF(L76="","Unverified Data",IF(M76&gt;N76,"Stale report",K76)))</f>
        <v>Unverified Data</v>
      </c>
      <c r="P76" s="18" t="str">
        <f aca="false">IF(AND(H76="Yes",OR(I76="Available",I76="Low stock")),IF(O76="Stale report","Verify first","Yes"),"No")</f>
        <v>Yes</v>
      </c>
      <c r="Q76" s="18" t="str">
        <f aca="false">IF(H76="Yes","proposed_pending_approval","n/a")</f>
        <v>proposed_pending_approval</v>
      </c>
      <c r="R76" s="18" t="str">
        <f aca="false">IF(H76="Yes","Retail swipe (proposed) / RU Express / Cash or card","n/a")</f>
        <v>Retail swipe (proposed) / RU Express / Cash or card</v>
      </c>
      <c r="S76" s="21" t="str">
        <f aca="false">INDEX(Products!$I$2:$I$29,MATCH($E76,Products!$A$2:$A$29,0))</f>
        <v>1 kit</v>
      </c>
      <c r="T76" s="18" t="n">
        <f aca="false">IF(H76="Yes",Config!$B$5,"")</f>
        <v>75</v>
      </c>
      <c r="U76" s="21" t="str">
        <f aca="false">INDEX(Products!$J$2:$J$29,MATCH($E76,Products!$A$2:$A$29,0))</f>
        <v>No</v>
      </c>
      <c r="V76" s="18" t="s">
        <v>394</v>
      </c>
    </row>
    <row r="77" customFormat="false" ht="15" hidden="false" customHeight="true" outlineLevel="0" collapsed="false">
      <c r="A77" s="18" t="s">
        <v>475</v>
      </c>
      <c r="B77" s="18" t="s">
        <v>145</v>
      </c>
      <c r="C77" s="21" t="str">
        <f aca="false">INDEX(Locations!$B$2:$B$9,MATCH($B77,Locations!$A$2:$A$9,0))</f>
        <v>Kilmer's Market</v>
      </c>
      <c r="D77" s="21" t="str">
        <f aca="false">INDEX(Locations!$C$2:$C$9,MATCH($B77,Locations!$A$2:$A$9,0))</f>
        <v>Livingston</v>
      </c>
      <c r="E77" s="18" t="s">
        <v>327</v>
      </c>
      <c r="F77" s="21" t="str">
        <f aca="false">INDEX(Products!$B$2:$B$29,MATCH($E77,Products!$A$2:$A$29,0))</f>
        <v>Band-Aid Brand Adhesive Bandages</v>
      </c>
      <c r="G77" s="21" t="str">
        <f aca="false">INDEX(Products!$C$2:$C$29,MATCH($E77,Products!$A$2:$A$29,0))</f>
        <v>First aid &amp; comfort</v>
      </c>
      <c r="H77" s="18" t="s">
        <v>123</v>
      </c>
      <c r="I77" s="18" t="s">
        <v>404</v>
      </c>
      <c r="J77" s="18" t="str">
        <f aca="false">IF(H77="No","-",IF(I77="Available","Good supply",IF(I77="Low stock","Few left",IF(I77="Out of stock","None",IF(I77="Temporarily unavailable","Unavailable","Unknown")))))</f>
        <v>Few left</v>
      </c>
      <c r="K77" s="18" t="s">
        <v>397</v>
      </c>
      <c r="L77" s="22" t="n">
        <v>46308.59375</v>
      </c>
      <c r="M77" s="18" t="n">
        <f aca="false">IF(L77="","",ROUND((Config!$B$2-L77)*1440,0))</f>
        <v>45</v>
      </c>
      <c r="N77" s="18" t="str">
        <f aca="false">IF(K77="Staff verified",Config!$B$4,IF(OR(K77="Authorized student verified",K77="Multiple student reports",K77="Single student report"),Config!$B$3,""))</f>
        <v/>
      </c>
      <c r="O77" s="18" t="str">
        <f aca="false">IF(H77="No","n/a",IF(L77="","Unverified Data",IF(M77&gt;N77,"Stale report",K77)))</f>
        <v>Verified student report</v>
      </c>
      <c r="P77" s="18" t="str">
        <f aca="false">IF(AND(H77="Yes",OR(I77="Available",I77="Low stock")),IF(O77="Stale report","Verify first","Yes"),"No")</f>
        <v>Yes</v>
      </c>
      <c r="Q77" s="18" t="str">
        <f aca="false">IF(H77="Yes","proposed_pending_approval","n/a")</f>
        <v>proposed_pending_approval</v>
      </c>
      <c r="R77" s="18" t="str">
        <f aca="false">IF(H77="Yes","Retail swipe (proposed) / RU Express / Cash or card","n/a")</f>
        <v>Retail swipe (proposed) / RU Express / Cash or card</v>
      </c>
      <c r="S77" s="21" t="str">
        <f aca="false">INDEX(Products!$I$2:$I$29,MATCH($E77,Products!$A$2:$A$29,0))</f>
        <v>1 box</v>
      </c>
      <c r="T77" s="18" t="n">
        <f aca="false">IF(H77="Yes",Config!$B$5,"")</f>
        <v>75</v>
      </c>
      <c r="U77" s="21" t="str">
        <f aca="false">INDEX(Products!$J$2:$J$29,MATCH($E77,Products!$A$2:$A$29,0))</f>
        <v>No</v>
      </c>
      <c r="V77" s="18" t="s">
        <v>394</v>
      </c>
    </row>
    <row r="78" customFormat="false" ht="15" hidden="false" customHeight="true" outlineLevel="0" collapsed="false">
      <c r="A78" s="18" t="s">
        <v>476</v>
      </c>
      <c r="B78" s="18" t="s">
        <v>145</v>
      </c>
      <c r="C78" s="21" t="str">
        <f aca="false">INDEX(Locations!$B$2:$B$9,MATCH($B78,Locations!$A$2:$A$9,0))</f>
        <v>Kilmer's Market</v>
      </c>
      <c r="D78" s="21" t="str">
        <f aca="false">INDEX(Locations!$C$2:$C$9,MATCH($B78,Locations!$A$2:$A$9,0))</f>
        <v>Livingston</v>
      </c>
      <c r="E78" s="18" t="s">
        <v>333</v>
      </c>
      <c r="F78" s="21" t="str">
        <f aca="false">INDEX(Products!$B$2:$B$29,MATCH($E78,Products!$A$2:$A$29,0))</f>
        <v>Johnson &amp; Johnson First Aid To Go Kit</v>
      </c>
      <c r="G78" s="21" t="str">
        <f aca="false">INDEX(Products!$C$2:$C$29,MATCH($E78,Products!$A$2:$A$29,0))</f>
        <v>First aid &amp; comfort</v>
      </c>
      <c r="H78" s="18" t="s">
        <v>123</v>
      </c>
      <c r="I78" s="18" t="s">
        <v>392</v>
      </c>
      <c r="J78" s="18" t="str">
        <f aca="false">IF(H78="No","-",IF(I78="Available","Good supply",IF(I78="Low stock","Few left",IF(I78="Out of stock","None",IF(I78="Temporarily unavailable","Unavailable","Unknown")))))</f>
        <v>Good supply</v>
      </c>
      <c r="K78" s="18" t="s">
        <v>409</v>
      </c>
      <c r="L78" s="22"/>
      <c r="M78" s="18" t="str">
        <f aca="false">IF(L78="","",ROUND((Config!$B$2-L78)*1440,0))</f>
        <v/>
      </c>
      <c r="N78" s="18" t="str">
        <f aca="false">IF(K78="Staff verified",Config!$B$4,IF(OR(K78="Authorized student verified",K78="Multiple student reports",K78="Single student report"),Config!$B$3,""))</f>
        <v/>
      </c>
      <c r="O78" s="18" t="str">
        <f aca="false">IF(H78="No","n/a",IF(L78="","Unverified Data",IF(M78&gt;N78,"Stale report",K78)))</f>
        <v>Unverified Data</v>
      </c>
      <c r="P78" s="18" t="str">
        <f aca="false">IF(AND(H78="Yes",OR(I78="Available",I78="Low stock")),IF(O78="Stale report","Verify first","Yes"),"No")</f>
        <v>Yes</v>
      </c>
      <c r="Q78" s="18" t="str">
        <f aca="false">IF(H78="Yes","proposed_pending_approval","n/a")</f>
        <v>proposed_pending_approval</v>
      </c>
      <c r="R78" s="18" t="str">
        <f aca="false">IF(H78="Yes","Retail swipe (proposed) / RU Express / Cash or card","n/a")</f>
        <v>Retail swipe (proposed) / RU Express / Cash or card</v>
      </c>
      <c r="S78" s="21" t="str">
        <f aca="false">INDEX(Products!$I$2:$I$29,MATCH($E78,Products!$A$2:$A$29,0))</f>
        <v>1 kit</v>
      </c>
      <c r="T78" s="18" t="n">
        <f aca="false">IF(H78="Yes",Config!$B$5,"")</f>
        <v>75</v>
      </c>
      <c r="U78" s="21" t="str">
        <f aca="false">INDEX(Products!$J$2:$J$29,MATCH($E78,Products!$A$2:$A$29,0))</f>
        <v>No</v>
      </c>
      <c r="V78" s="18" t="s">
        <v>394</v>
      </c>
    </row>
    <row r="79" customFormat="false" ht="15" hidden="false" customHeight="true" outlineLevel="0" collapsed="false">
      <c r="A79" s="18" t="s">
        <v>477</v>
      </c>
      <c r="B79" s="18" t="s">
        <v>145</v>
      </c>
      <c r="C79" s="21" t="str">
        <f aca="false">INDEX(Locations!$B$2:$B$9,MATCH($B79,Locations!$A$2:$A$9,0))</f>
        <v>Kilmer's Market</v>
      </c>
      <c r="D79" s="21" t="str">
        <f aca="false">INDEX(Locations!$C$2:$C$9,MATCH($B79,Locations!$A$2:$A$9,0))</f>
        <v>Livingston</v>
      </c>
      <c r="E79" s="18" t="s">
        <v>338</v>
      </c>
      <c r="F79" s="21" t="str">
        <f aca="false">INDEX(Products!$B$2:$B$29,MATCH($E79,Products!$A$2:$A$29,0))</f>
        <v>Neosporin Original Ointment</v>
      </c>
      <c r="G79" s="21" t="str">
        <f aca="false">INDEX(Products!$C$2:$C$29,MATCH($E79,Products!$A$2:$A$29,0))</f>
        <v>First aid &amp; comfort</v>
      </c>
      <c r="H79" s="18" t="s">
        <v>123</v>
      </c>
      <c r="I79" s="18" t="s">
        <v>392</v>
      </c>
      <c r="J79" s="18" t="str">
        <f aca="false">IF(H79="No","-",IF(I79="Available","Good supply",IF(I79="Low stock","Few left",IF(I79="Out of stock","None",IF(I79="Temporarily unavailable","Unavailable","Unknown")))))</f>
        <v>Good supply</v>
      </c>
      <c r="K79" s="18" t="s">
        <v>393</v>
      </c>
      <c r="L79" s="22" t="n">
        <v>46308.5763888889</v>
      </c>
      <c r="M79" s="18" t="n">
        <f aca="false">IF(L79="","",ROUND((Config!$B$2-L79)*1440,0))</f>
        <v>70</v>
      </c>
      <c r="N79" s="18" t="n">
        <f aca="false">IF(K79="Staff verified",Config!$B$4,IF(OR(K79="Authorized student verified",K79="Multiple student reports",K79="Single student report"),Config!$B$3,""))</f>
        <v>240</v>
      </c>
      <c r="O79" s="18" t="str">
        <f aca="false">IF(H79="No","n/a",IF(L79="","Unverified Data",IF(M79&gt;N79,"Stale report",K79)))</f>
        <v>Staff verified</v>
      </c>
      <c r="P79" s="18" t="str">
        <f aca="false">IF(AND(H79="Yes",OR(I79="Available",I79="Low stock")),IF(O79="Stale report","Verify first","Yes"),"No")</f>
        <v>Yes</v>
      </c>
      <c r="Q79" s="18" t="str">
        <f aca="false">IF(H79="Yes","proposed_pending_approval","n/a")</f>
        <v>proposed_pending_approval</v>
      </c>
      <c r="R79" s="18" t="str">
        <f aca="false">IF(H79="Yes","Retail swipe (proposed) / RU Express / Cash or card","n/a")</f>
        <v>Retail swipe (proposed) / RU Express / Cash or card</v>
      </c>
      <c r="S79" s="21" t="str">
        <f aca="false">INDEX(Products!$I$2:$I$29,MATCH($E79,Products!$A$2:$A$29,0))</f>
        <v>1 tube</v>
      </c>
      <c r="T79" s="18" t="n">
        <f aca="false">IF(H79="Yes",Config!$B$5,"")</f>
        <v>75</v>
      </c>
      <c r="U79" s="21" t="str">
        <f aca="false">INDEX(Products!$J$2:$J$29,MATCH($E79,Products!$A$2:$A$29,0))</f>
        <v>No</v>
      </c>
      <c r="V79" s="18" t="s">
        <v>394</v>
      </c>
    </row>
    <row r="80" customFormat="false" ht="15" hidden="false" customHeight="true" outlineLevel="0" collapsed="false">
      <c r="A80" s="18" t="s">
        <v>478</v>
      </c>
      <c r="B80" s="18" t="s">
        <v>145</v>
      </c>
      <c r="C80" s="21" t="str">
        <f aca="false">INDEX(Locations!$B$2:$B$9,MATCH($B80,Locations!$A$2:$A$9,0))</f>
        <v>Kilmer's Market</v>
      </c>
      <c r="D80" s="21" t="str">
        <f aca="false">INDEX(Locations!$C$2:$C$9,MATCH($B80,Locations!$A$2:$A$9,0))</f>
        <v>Livingston</v>
      </c>
      <c r="E80" s="18" t="s">
        <v>345</v>
      </c>
      <c r="F80" s="21" t="str">
        <f aca="false">INDEX(Products!$B$2:$B$29,MATCH($E80,Products!$A$2:$A$29,0))</f>
        <v>Instant cold pack (brand varies)</v>
      </c>
      <c r="G80" s="21" t="str">
        <f aca="false">INDEX(Products!$C$2:$C$29,MATCH($E80,Products!$A$2:$A$29,0))</f>
        <v>First aid &amp; comfort</v>
      </c>
      <c r="H80" s="18" t="s">
        <v>123</v>
      </c>
      <c r="I80" s="18" t="s">
        <v>396</v>
      </c>
      <c r="J80" s="18" t="str">
        <f aca="false">IF(H80="No","-",IF(I80="Available","Good supply",IF(I80="Low stock","Few left",IF(I80="Out of stock","None",IF(I80="Temporarily unavailable","Unavailable","Unknown")))))</f>
        <v>None</v>
      </c>
      <c r="K80" s="18" t="s">
        <v>397</v>
      </c>
      <c r="L80" s="22" t="n">
        <v>46308.5770833333</v>
      </c>
      <c r="M80" s="18" t="n">
        <f aca="false">IF(L80="","",ROUND((Config!$B$2-L80)*1440,0))</f>
        <v>69</v>
      </c>
      <c r="N80" s="18" t="str">
        <f aca="false">IF(K80="Staff verified",Config!$B$4,IF(OR(K80="Authorized student verified",K80="Multiple student reports",K80="Single student report"),Config!$B$3,""))</f>
        <v/>
      </c>
      <c r="O80" s="18" t="str">
        <f aca="false">IF(H80="No","n/a",IF(L80="","Unverified Data",IF(M80&gt;N80,"Stale report",K80)))</f>
        <v>Verified student report</v>
      </c>
      <c r="P80" s="18" t="str">
        <f aca="false">IF(AND(H80="Yes",OR(I80="Available",I80="Low stock")),IF(O80="Stale report","Verify first","Yes"),"No")</f>
        <v>No</v>
      </c>
      <c r="Q80" s="18" t="str">
        <f aca="false">IF(H80="Yes","proposed_pending_approval","n/a")</f>
        <v>proposed_pending_approval</v>
      </c>
      <c r="R80" s="18" t="str">
        <f aca="false">IF(H80="Yes","Retail swipe (proposed) / RU Express / Cash or card","n/a")</f>
        <v>Retail swipe (proposed) / RU Express / Cash or card</v>
      </c>
      <c r="S80" s="21" t="str">
        <f aca="false">INDEX(Products!$I$2:$I$29,MATCH($E80,Products!$A$2:$A$29,0))</f>
        <v>1 pack</v>
      </c>
      <c r="T80" s="18" t="n">
        <f aca="false">IF(H80="Yes",Config!$B$5,"")</f>
        <v>75</v>
      </c>
      <c r="U80" s="21" t="str">
        <f aca="false">INDEX(Products!$J$2:$J$29,MATCH($E80,Products!$A$2:$A$29,0))</f>
        <v>No</v>
      </c>
      <c r="V80" s="18" t="s">
        <v>394</v>
      </c>
    </row>
    <row r="81" customFormat="false" ht="15" hidden="false" customHeight="true" outlineLevel="0" collapsed="false">
      <c r="A81" s="18" t="s">
        <v>479</v>
      </c>
      <c r="B81" s="18" t="s">
        <v>145</v>
      </c>
      <c r="C81" s="21" t="str">
        <f aca="false">INDEX(Locations!$B$2:$B$9,MATCH($B81,Locations!$A$2:$A$9,0))</f>
        <v>Kilmer's Market</v>
      </c>
      <c r="D81" s="21" t="str">
        <f aca="false">INDEX(Locations!$C$2:$C$9,MATCH($B81,Locations!$A$2:$A$9,0))</f>
        <v>Livingston</v>
      </c>
      <c r="E81" s="18" t="s">
        <v>351</v>
      </c>
      <c r="F81" s="21" t="str">
        <f aca="false">INDEX(Products!$B$2:$B$29,MATCH($E81,Products!$A$2:$A$29,0))</f>
        <v>ThermaCare Heat Wrap</v>
      </c>
      <c r="G81" s="21" t="str">
        <f aca="false">INDEX(Products!$C$2:$C$29,MATCH($E81,Products!$A$2:$A$29,0))</f>
        <v>First aid &amp; comfort</v>
      </c>
      <c r="H81" s="18" t="s">
        <v>123</v>
      </c>
      <c r="I81" s="18" t="s">
        <v>392</v>
      </c>
      <c r="J81" s="18" t="str">
        <f aca="false">IF(H81="No","-",IF(I81="Available","Good supply",IF(I81="Low stock","Few left",IF(I81="Out of stock","None",IF(I81="Temporarily unavailable","Unavailable","Unknown")))))</f>
        <v>Good supply</v>
      </c>
      <c r="K81" s="18" t="s">
        <v>393</v>
      </c>
      <c r="L81" s="22" t="n">
        <v>46308.5152777778</v>
      </c>
      <c r="M81" s="18" t="n">
        <f aca="false">IF(L81="","",ROUND((Config!$B$2-L81)*1440,0))</f>
        <v>158</v>
      </c>
      <c r="N81" s="18" t="n">
        <f aca="false">IF(K81="Staff verified",Config!$B$4,IF(OR(K81="Authorized student verified",K81="Multiple student reports",K81="Single student report"),Config!$B$3,""))</f>
        <v>240</v>
      </c>
      <c r="O81" s="18" t="str">
        <f aca="false">IF(H81="No","n/a",IF(L81="","Unverified Data",IF(M81&gt;N81,"Stale report",K81)))</f>
        <v>Staff verified</v>
      </c>
      <c r="P81" s="18" t="str">
        <f aca="false">IF(AND(H81="Yes",OR(I81="Available",I81="Low stock")),IF(O81="Stale report","Verify first","Yes"),"No")</f>
        <v>Yes</v>
      </c>
      <c r="Q81" s="18" t="str">
        <f aca="false">IF(H81="Yes","proposed_pending_approval","n/a")</f>
        <v>proposed_pending_approval</v>
      </c>
      <c r="R81" s="18" t="str">
        <f aca="false">IF(H81="Yes","Retail swipe (proposed) / RU Express / Cash or card","n/a")</f>
        <v>Retail swipe (proposed) / RU Express / Cash or card</v>
      </c>
      <c r="S81" s="21" t="str">
        <f aca="false">INDEX(Products!$I$2:$I$29,MATCH($E81,Products!$A$2:$A$29,0))</f>
        <v>1 package</v>
      </c>
      <c r="T81" s="18" t="n">
        <f aca="false">IF(H81="Yes",Config!$B$5,"")</f>
        <v>75</v>
      </c>
      <c r="U81" s="21" t="str">
        <f aca="false">INDEX(Products!$J$2:$J$29,MATCH($E81,Products!$A$2:$A$29,0))</f>
        <v>No</v>
      </c>
      <c r="V81" s="18" t="s">
        <v>394</v>
      </c>
    </row>
    <row r="82" customFormat="false" ht="15" hidden="false" customHeight="true" outlineLevel="0" collapsed="false">
      <c r="A82" s="18" t="s">
        <v>480</v>
      </c>
      <c r="B82" s="18" t="s">
        <v>145</v>
      </c>
      <c r="C82" s="21" t="str">
        <f aca="false">INDEX(Locations!$B$2:$B$9,MATCH($B82,Locations!$A$2:$A$9,0))</f>
        <v>Kilmer's Market</v>
      </c>
      <c r="D82" s="21" t="str">
        <f aca="false">INDEX(Locations!$C$2:$C$9,MATCH($B82,Locations!$A$2:$A$9,0))</f>
        <v>Livingston</v>
      </c>
      <c r="E82" s="18" t="s">
        <v>356</v>
      </c>
      <c r="F82" s="21" t="str">
        <f aca="false">INDEX(Products!$B$2:$B$29,MATCH($E82,Products!$A$2:$A$29,0))</f>
        <v>Always Ultra Thin Pads</v>
      </c>
      <c r="G82" s="21" t="str">
        <f aca="false">INDEX(Products!$C$2:$C$29,MATCH($E82,Products!$A$2:$A$29,0))</f>
        <v>Menstrual &amp; hygiene</v>
      </c>
      <c r="H82" s="18" t="s">
        <v>123</v>
      </c>
      <c r="I82" s="18" t="s">
        <v>404</v>
      </c>
      <c r="J82" s="18" t="str">
        <f aca="false">IF(H82="No","-",IF(I82="Available","Good supply",IF(I82="Low stock","Few left",IF(I82="Out of stock","None",IF(I82="Temporarily unavailable","Unavailable","Unknown")))))</f>
        <v>Few left</v>
      </c>
      <c r="K82" s="18" t="s">
        <v>393</v>
      </c>
      <c r="L82" s="22" t="n">
        <v>46308.5833333333</v>
      </c>
      <c r="M82" s="18" t="n">
        <f aca="false">IF(L82="","",ROUND((Config!$B$2-L82)*1440,0))</f>
        <v>60</v>
      </c>
      <c r="N82" s="18" t="n">
        <f aca="false">IF(K82="Staff verified",Config!$B$4,IF(OR(K82="Authorized student verified",K82="Multiple student reports",K82="Single student report"),Config!$B$3,""))</f>
        <v>240</v>
      </c>
      <c r="O82" s="18" t="str">
        <f aca="false">IF(H82="No","n/a",IF(L82="","Unverified Data",IF(M82&gt;N82,"Stale report",K82)))</f>
        <v>Staff verified</v>
      </c>
      <c r="P82" s="18" t="str">
        <f aca="false">IF(AND(H82="Yes",OR(I82="Available",I82="Low stock")),IF(O82="Stale report","Verify first","Yes"),"No")</f>
        <v>Yes</v>
      </c>
      <c r="Q82" s="18" t="str">
        <f aca="false">IF(H82="Yes","proposed_pending_approval","n/a")</f>
        <v>proposed_pending_approval</v>
      </c>
      <c r="R82" s="18" t="str">
        <f aca="false">IF(H82="Yes","Retail swipe (proposed) / RU Express / Cash or card","n/a")</f>
        <v>Retail swipe (proposed) / RU Express / Cash or card</v>
      </c>
      <c r="S82" s="21" t="str">
        <f aca="false">INDEX(Products!$I$2:$I$29,MATCH($E82,Products!$A$2:$A$29,0))</f>
        <v>1 package</v>
      </c>
      <c r="T82" s="18" t="n">
        <f aca="false">IF(H82="Yes",Config!$B$5,"")</f>
        <v>75</v>
      </c>
      <c r="U82" s="21" t="str">
        <f aca="false">INDEX(Products!$J$2:$J$29,MATCH($E82,Products!$A$2:$A$29,0))</f>
        <v>No</v>
      </c>
      <c r="V82" s="18" t="s">
        <v>394</v>
      </c>
    </row>
    <row r="83" customFormat="false" ht="15" hidden="false" customHeight="true" outlineLevel="0" collapsed="false">
      <c r="A83" s="18" t="s">
        <v>481</v>
      </c>
      <c r="B83" s="18" t="s">
        <v>145</v>
      </c>
      <c r="C83" s="21" t="str">
        <f aca="false">INDEX(Locations!$B$2:$B$9,MATCH($B83,Locations!$A$2:$A$9,0))</f>
        <v>Kilmer's Market</v>
      </c>
      <c r="D83" s="21" t="str">
        <f aca="false">INDEX(Locations!$C$2:$C$9,MATCH($B83,Locations!$A$2:$A$9,0))</f>
        <v>Livingston</v>
      </c>
      <c r="E83" s="18" t="s">
        <v>363</v>
      </c>
      <c r="F83" s="21" t="str">
        <f aca="false">INDEX(Products!$B$2:$B$29,MATCH($E83,Products!$A$2:$A$29,0))</f>
        <v>Tampax Pearl Tampons</v>
      </c>
      <c r="G83" s="21" t="str">
        <f aca="false">INDEX(Products!$C$2:$C$29,MATCH($E83,Products!$A$2:$A$29,0))</f>
        <v>Menstrual &amp; hygiene</v>
      </c>
      <c r="H83" s="18" t="s">
        <v>123</v>
      </c>
      <c r="I83" s="18" t="s">
        <v>413</v>
      </c>
      <c r="J83" s="18" t="str">
        <f aca="false">IF(H83="No","-",IF(I83="Available","Good supply",IF(I83="Low stock","Few left",IF(I83="Out of stock","None",IF(I83="Temporarily unavailable","Unavailable","Unknown")))))</f>
        <v>Unknown</v>
      </c>
      <c r="K83" s="18" t="s">
        <v>409</v>
      </c>
      <c r="L83" s="22"/>
      <c r="M83" s="18" t="str">
        <f aca="false">IF(L83="","",ROUND((Config!$B$2-L83)*1440,0))</f>
        <v/>
      </c>
      <c r="N83" s="18" t="str">
        <f aca="false">IF(K83="Staff verified",Config!$B$4,IF(OR(K83="Authorized student verified",K83="Multiple student reports",K83="Single student report"),Config!$B$3,""))</f>
        <v/>
      </c>
      <c r="O83" s="18" t="str">
        <f aca="false">IF(H83="No","n/a",IF(L83="","Unverified Data",IF(M83&gt;N83,"Stale report",K83)))</f>
        <v>Unverified Data</v>
      </c>
      <c r="P83" s="18" t="str">
        <f aca="false">IF(AND(H83="Yes",OR(I83="Available",I83="Low stock")),IF(O83="Stale report","Verify first","Yes"),"No")</f>
        <v>No</v>
      </c>
      <c r="Q83" s="18" t="str">
        <f aca="false">IF(H83="Yes","proposed_pending_approval","n/a")</f>
        <v>proposed_pending_approval</v>
      </c>
      <c r="R83" s="18" t="str">
        <f aca="false">IF(H83="Yes","Retail swipe (proposed) / RU Express / Cash or card","n/a")</f>
        <v>Retail swipe (proposed) / RU Express / Cash or card</v>
      </c>
      <c r="S83" s="21" t="str">
        <f aca="false">INDEX(Products!$I$2:$I$29,MATCH($E83,Products!$A$2:$A$29,0))</f>
        <v>1 package</v>
      </c>
      <c r="T83" s="18" t="n">
        <f aca="false">IF(H83="Yes",Config!$B$5,"")</f>
        <v>75</v>
      </c>
      <c r="U83" s="21" t="str">
        <f aca="false">INDEX(Products!$J$2:$J$29,MATCH($E83,Products!$A$2:$A$29,0))</f>
        <v>No</v>
      </c>
      <c r="V83" s="18" t="s">
        <v>394</v>
      </c>
    </row>
    <row r="84" customFormat="false" ht="15" hidden="false" customHeight="true" outlineLevel="0" collapsed="false">
      <c r="A84" s="18" t="s">
        <v>482</v>
      </c>
      <c r="B84" s="18" t="s">
        <v>145</v>
      </c>
      <c r="C84" s="21" t="str">
        <f aca="false">INDEX(Locations!$B$2:$B$9,MATCH($B84,Locations!$A$2:$A$9,0))</f>
        <v>Kilmer's Market</v>
      </c>
      <c r="D84" s="21" t="str">
        <f aca="false">INDEX(Locations!$C$2:$C$9,MATCH($B84,Locations!$A$2:$A$9,0))</f>
        <v>Livingston</v>
      </c>
      <c r="E84" s="18" t="s">
        <v>368</v>
      </c>
      <c r="F84" s="21" t="str">
        <f aca="false">INDEX(Products!$B$2:$B$29,MATCH($E84,Products!$A$2:$A$29,0))</f>
        <v>Purell Advanced Hand Sanitizer</v>
      </c>
      <c r="G84" s="21" t="str">
        <f aca="false">INDEX(Products!$C$2:$C$29,MATCH($E84,Products!$A$2:$A$29,0))</f>
        <v>Menstrual &amp; hygiene</v>
      </c>
      <c r="H84" s="18" t="s">
        <v>123</v>
      </c>
      <c r="I84" s="18" t="s">
        <v>396</v>
      </c>
      <c r="J84" s="18" t="str">
        <f aca="false">IF(H84="No","-",IF(I84="Available","Good supply",IF(I84="Low stock","Few left",IF(I84="Out of stock","None",IF(I84="Temporarily unavailable","Unavailable","Unknown")))))</f>
        <v>None</v>
      </c>
      <c r="K84" s="18" t="s">
        <v>397</v>
      </c>
      <c r="L84" s="22" t="n">
        <v>46308.6097222222</v>
      </c>
      <c r="M84" s="18" t="n">
        <f aca="false">IF(L84="","",ROUND((Config!$B$2-L84)*1440,0))</f>
        <v>22</v>
      </c>
      <c r="N84" s="18" t="str">
        <f aca="false">IF(K84="Staff verified",Config!$B$4,IF(OR(K84="Authorized student verified",K84="Multiple student reports",K84="Single student report"),Config!$B$3,""))</f>
        <v/>
      </c>
      <c r="O84" s="18" t="str">
        <f aca="false">IF(H84="No","n/a",IF(L84="","Unverified Data",IF(M84&gt;N84,"Stale report",K84)))</f>
        <v>Verified student report</v>
      </c>
      <c r="P84" s="18" t="str">
        <f aca="false">IF(AND(H84="Yes",OR(I84="Available",I84="Low stock")),IF(O84="Stale report","Verify first","Yes"),"No")</f>
        <v>No</v>
      </c>
      <c r="Q84" s="18" t="str">
        <f aca="false">IF(H84="Yes","proposed_pending_approval","n/a")</f>
        <v>proposed_pending_approval</v>
      </c>
      <c r="R84" s="18" t="str">
        <f aca="false">IF(H84="Yes","Retail swipe (proposed) / RU Express / Cash or card","n/a")</f>
        <v>Retail swipe (proposed) / RU Express / Cash or card</v>
      </c>
      <c r="S84" s="21" t="str">
        <f aca="false">INDEX(Products!$I$2:$I$29,MATCH($E84,Products!$A$2:$A$29,0))</f>
        <v>1 bottle</v>
      </c>
      <c r="T84" s="18" t="n">
        <f aca="false">IF(H84="Yes",Config!$B$5,"")</f>
        <v>75</v>
      </c>
      <c r="U84" s="21" t="str">
        <f aca="false">INDEX(Products!$J$2:$J$29,MATCH($E84,Products!$A$2:$A$29,0))</f>
        <v>No</v>
      </c>
      <c r="V84" s="18" t="s">
        <v>394</v>
      </c>
    </row>
    <row r="85" customFormat="false" ht="15" hidden="false" customHeight="true" outlineLevel="0" collapsed="false">
      <c r="A85" s="18" t="s">
        <v>483</v>
      </c>
      <c r="B85" s="18" t="s">
        <v>145</v>
      </c>
      <c r="C85" s="21" t="str">
        <f aca="false">INDEX(Locations!$B$2:$B$9,MATCH($B85,Locations!$A$2:$A$9,0))</f>
        <v>Kilmer's Market</v>
      </c>
      <c r="D85" s="21" t="str">
        <f aca="false">INDEX(Locations!$C$2:$C$9,MATCH($B85,Locations!$A$2:$A$9,0))</f>
        <v>Livingston</v>
      </c>
      <c r="E85" s="18" t="s">
        <v>374</v>
      </c>
      <c r="F85" s="21" t="str">
        <f aca="false">INDEX(Products!$B$2:$B$29,MATCH($E85,Products!$A$2:$A$29,0))</f>
        <v>Disposable face masks (brand varies)</v>
      </c>
      <c r="G85" s="21" t="str">
        <f aca="false">INDEX(Products!$C$2:$C$29,MATCH($E85,Products!$A$2:$A$29,0))</f>
        <v>Menstrual &amp; hygiene</v>
      </c>
      <c r="H85" s="18" t="s">
        <v>123</v>
      </c>
      <c r="I85" s="18" t="s">
        <v>392</v>
      </c>
      <c r="J85" s="18" t="str">
        <f aca="false">IF(H85="No","-",IF(I85="Available","Good supply",IF(I85="Low stock","Few left",IF(I85="Out of stock","None",IF(I85="Temporarily unavailable","Unavailable","Unknown")))))</f>
        <v>Good supply</v>
      </c>
      <c r="K85" s="18" t="s">
        <v>393</v>
      </c>
      <c r="L85" s="22" t="n">
        <v>46308.53125</v>
      </c>
      <c r="M85" s="18" t="n">
        <f aca="false">IF(L85="","",ROUND((Config!$B$2-L85)*1440,0))</f>
        <v>135</v>
      </c>
      <c r="N85" s="18" t="n">
        <f aca="false">IF(K85="Staff verified",Config!$B$4,IF(OR(K85="Authorized student verified",K85="Multiple student reports",K85="Single student report"),Config!$B$3,""))</f>
        <v>240</v>
      </c>
      <c r="O85" s="18" t="str">
        <f aca="false">IF(H85="No","n/a",IF(L85="","Unverified Data",IF(M85&gt;N85,"Stale report",K85)))</f>
        <v>Staff verified</v>
      </c>
      <c r="P85" s="18" t="str">
        <f aca="false">IF(AND(H85="Yes",OR(I85="Available",I85="Low stock")),IF(O85="Stale report","Verify first","Yes"),"No")</f>
        <v>Yes</v>
      </c>
      <c r="Q85" s="18" t="str">
        <f aca="false">IF(H85="Yes","proposed_pending_approval","n/a")</f>
        <v>proposed_pending_approval</v>
      </c>
      <c r="R85" s="18" t="str">
        <f aca="false">IF(H85="Yes","Retail swipe (proposed) / RU Express / Cash or card","n/a")</f>
        <v>Retail swipe (proposed) / RU Express / Cash or card</v>
      </c>
      <c r="S85" s="21" t="str">
        <f aca="false">INDEX(Products!$I$2:$I$29,MATCH($E85,Products!$A$2:$A$29,0))</f>
        <v>1 pack</v>
      </c>
      <c r="T85" s="18" t="n">
        <f aca="false">IF(H85="Yes",Config!$B$5,"")</f>
        <v>75</v>
      </c>
      <c r="U85" s="21" t="str">
        <f aca="false">INDEX(Products!$J$2:$J$29,MATCH($E85,Products!$A$2:$A$29,0))</f>
        <v>No</v>
      </c>
      <c r="V85" s="18" t="s">
        <v>394</v>
      </c>
    </row>
    <row r="86" customFormat="false" ht="15" hidden="false" customHeight="true" outlineLevel="0" collapsed="false">
      <c r="A86" s="18" t="s">
        <v>484</v>
      </c>
      <c r="B86" s="18" t="s">
        <v>154</v>
      </c>
      <c r="C86" s="21" t="str">
        <f aca="false">INDEX(Locations!$B$2:$B$9,MATCH($B86,Locations!$A$2:$A$9,0))</f>
        <v>Henry's Diner</v>
      </c>
      <c r="D86" s="21" t="str">
        <f aca="false">INDEX(Locations!$C$2:$C$9,MATCH($B86,Locations!$A$2:$A$9,0))</f>
        <v>Livingston</v>
      </c>
      <c r="E86" s="18" t="s">
        <v>204</v>
      </c>
      <c r="F86" s="21" t="str">
        <f aca="false">INDEX(Products!$B$2:$B$29,MATCH($E86,Products!$A$2:$A$29,0))</f>
        <v>Tylenol Extra Strength</v>
      </c>
      <c r="G86" s="21" t="str">
        <f aca="false">INDEX(Products!$C$2:$C$29,MATCH($E86,Products!$A$2:$A$29,0))</f>
        <v>Pain &amp; fever</v>
      </c>
      <c r="H86" s="18" t="s">
        <v>123</v>
      </c>
      <c r="I86" s="18" t="s">
        <v>392</v>
      </c>
      <c r="J86" s="18" t="str">
        <f aca="false">IF(H86="No","-",IF(I86="Available","Good supply",IF(I86="Low stock","Few left",IF(I86="Out of stock","None",IF(I86="Temporarily unavailable","Unavailable","Unknown")))))</f>
        <v>Good supply</v>
      </c>
      <c r="K86" s="18" t="s">
        <v>397</v>
      </c>
      <c r="L86" s="22" t="n">
        <v>46308.6020833333</v>
      </c>
      <c r="M86" s="18" t="n">
        <f aca="false">IF(L86="","",ROUND((Config!$B$2-L86)*1440,0))</f>
        <v>33</v>
      </c>
      <c r="N86" s="18" t="str">
        <f aca="false">IF(K86="Staff verified",Config!$B$4,IF(OR(K86="Authorized student verified",K86="Multiple student reports",K86="Single student report"),Config!$B$3,""))</f>
        <v/>
      </c>
      <c r="O86" s="18" t="str">
        <f aca="false">IF(H86="No","n/a",IF(L86="","Unverified Data",IF(M86&gt;N86,"Stale report",K86)))</f>
        <v>Verified student report</v>
      </c>
      <c r="P86" s="18" t="str">
        <f aca="false">IF(AND(H86="Yes",OR(I86="Available",I86="Low stock")),IF(O86="Stale report","Verify first","Yes"),"No")</f>
        <v>Yes</v>
      </c>
      <c r="Q86" s="18" t="str">
        <f aca="false">IF(H86="Yes","proposed_pending_approval","n/a")</f>
        <v>proposed_pending_approval</v>
      </c>
      <c r="R86" s="18" t="str">
        <f aca="false">IF(H86="Yes","Retail swipe (proposed) / RU Express / Cash or card","n/a")</f>
        <v>Retail swipe (proposed) / RU Express / Cash or card</v>
      </c>
      <c r="S86" s="21" t="str">
        <f aca="false">INDEX(Products!$I$2:$I$29,MATCH($E86,Products!$A$2:$A$29,0))</f>
        <v>1 package</v>
      </c>
      <c r="T86" s="18" t="n">
        <f aca="false">IF(H86="Yes",Config!$B$5,"")</f>
        <v>75</v>
      </c>
      <c r="U86" s="21" t="str">
        <f aca="false">INDEX(Products!$J$2:$J$29,MATCH($E86,Products!$A$2:$A$29,0))</f>
        <v>No</v>
      </c>
      <c r="V86" s="18" t="s">
        <v>394</v>
      </c>
    </row>
    <row r="87" customFormat="false" ht="15" hidden="false" customHeight="true" outlineLevel="0" collapsed="false">
      <c r="A87" s="18" t="s">
        <v>485</v>
      </c>
      <c r="B87" s="18" t="s">
        <v>154</v>
      </c>
      <c r="C87" s="21" t="str">
        <f aca="false">INDEX(Locations!$B$2:$B$9,MATCH($B87,Locations!$A$2:$A$9,0))</f>
        <v>Henry's Diner</v>
      </c>
      <c r="D87" s="21" t="str">
        <f aca="false">INDEX(Locations!$C$2:$C$9,MATCH($B87,Locations!$A$2:$A$9,0))</f>
        <v>Livingston</v>
      </c>
      <c r="E87" s="18" t="s">
        <v>215</v>
      </c>
      <c r="F87" s="21" t="str">
        <f aca="false">INDEX(Products!$B$2:$B$29,MATCH($E87,Products!$A$2:$A$29,0))</f>
        <v>Advil</v>
      </c>
      <c r="G87" s="21" t="str">
        <f aca="false">INDEX(Products!$C$2:$C$29,MATCH($E87,Products!$A$2:$A$29,0))</f>
        <v>Pain &amp; fever</v>
      </c>
      <c r="H87" s="18" t="s">
        <v>123</v>
      </c>
      <c r="I87" s="18" t="s">
        <v>404</v>
      </c>
      <c r="J87" s="18" t="str">
        <f aca="false">IF(H87="No","-",IF(I87="Available","Good supply",IF(I87="Low stock","Few left",IF(I87="Out of stock","None",IF(I87="Temporarily unavailable","Unavailable","Unknown")))))</f>
        <v>Few left</v>
      </c>
      <c r="K87" s="18" t="s">
        <v>397</v>
      </c>
      <c r="L87" s="22" t="n">
        <v>46308.6145833333</v>
      </c>
      <c r="M87" s="18" t="n">
        <f aca="false">IF(L87="","",ROUND((Config!$B$2-L87)*1440,0))</f>
        <v>15</v>
      </c>
      <c r="N87" s="18" t="str">
        <f aca="false">IF(K87="Staff verified",Config!$B$4,IF(OR(K87="Authorized student verified",K87="Multiple student reports",K87="Single student report"),Config!$B$3,""))</f>
        <v/>
      </c>
      <c r="O87" s="18" t="str">
        <f aca="false">IF(H87="No","n/a",IF(L87="","Unverified Data",IF(M87&gt;N87,"Stale report",K87)))</f>
        <v>Verified student report</v>
      </c>
      <c r="P87" s="18" t="str">
        <f aca="false">IF(AND(H87="Yes",OR(I87="Available",I87="Low stock")),IF(O87="Stale report","Verify first","Yes"),"No")</f>
        <v>Yes</v>
      </c>
      <c r="Q87" s="18" t="str">
        <f aca="false">IF(H87="Yes","proposed_pending_approval","n/a")</f>
        <v>proposed_pending_approval</v>
      </c>
      <c r="R87" s="18" t="str">
        <f aca="false">IF(H87="Yes","Retail swipe (proposed) / RU Express / Cash or card","n/a")</f>
        <v>Retail swipe (proposed) / RU Express / Cash or card</v>
      </c>
      <c r="S87" s="21" t="str">
        <f aca="false">INDEX(Products!$I$2:$I$29,MATCH($E87,Products!$A$2:$A$29,0))</f>
        <v>1 package</v>
      </c>
      <c r="T87" s="18" t="n">
        <f aca="false">IF(H87="Yes",Config!$B$5,"")</f>
        <v>75</v>
      </c>
      <c r="U87" s="21" t="str">
        <f aca="false">INDEX(Products!$J$2:$J$29,MATCH($E87,Products!$A$2:$A$29,0))</f>
        <v>No</v>
      </c>
      <c r="V87" s="18" t="s">
        <v>394</v>
      </c>
    </row>
    <row r="88" customFormat="false" ht="15" hidden="false" customHeight="true" outlineLevel="0" collapsed="false">
      <c r="A88" s="18" t="s">
        <v>486</v>
      </c>
      <c r="B88" s="18" t="s">
        <v>154</v>
      </c>
      <c r="C88" s="21" t="str">
        <f aca="false">INDEX(Locations!$B$2:$B$9,MATCH($B88,Locations!$A$2:$A$9,0))</f>
        <v>Henry's Diner</v>
      </c>
      <c r="D88" s="21" t="str">
        <f aca="false">INDEX(Locations!$C$2:$C$9,MATCH($B88,Locations!$A$2:$A$9,0))</f>
        <v>Livingston</v>
      </c>
      <c r="E88" s="18" t="s">
        <v>220</v>
      </c>
      <c r="F88" s="21" t="str">
        <f aca="false">INDEX(Products!$B$2:$B$29,MATCH($E88,Products!$A$2:$A$29,0))</f>
        <v>Aleve</v>
      </c>
      <c r="G88" s="21" t="str">
        <f aca="false">INDEX(Products!$C$2:$C$29,MATCH($E88,Products!$A$2:$A$29,0))</f>
        <v>Pain &amp; fever</v>
      </c>
      <c r="H88" s="18" t="s">
        <v>212</v>
      </c>
      <c r="I88" s="18" t="s">
        <v>487</v>
      </c>
      <c r="J88" s="18" t="str">
        <f aca="false">IF(H88="No","-",IF(I88="Available","Good supply",IF(I88="Low stock","Few left",IF(I88="Out of stock","None",IF(I88="Temporarily unavailable","Unavailable","Unknown")))))</f>
        <v>-</v>
      </c>
      <c r="K88" s="18"/>
      <c r="L88" s="22"/>
      <c r="M88" s="18" t="str">
        <f aca="false">IF(L88="","",ROUND((Config!$B$2-L88)*1440,0))</f>
        <v/>
      </c>
      <c r="N88" s="18" t="str">
        <f aca="false">IF(K88="Staff verified",Config!$B$4,IF(OR(K88="Authorized student verified",K88="Multiple student reports",K88="Single student report"),Config!$B$3,""))</f>
        <v/>
      </c>
      <c r="O88" s="18" t="str">
        <f aca="false">IF(H88="No","n/a",IF(L88="","Unverified Data",IF(M88&gt;N88,"Stale report",K88)))</f>
        <v>n/a</v>
      </c>
      <c r="P88" s="18" t="str">
        <f aca="false">IF(AND(H88="Yes",OR(I88="Available",I88="Low stock")),IF(O88="Stale report","Verify first","Yes"),"No")</f>
        <v>No</v>
      </c>
      <c r="Q88" s="18" t="str">
        <f aca="false">IF(H88="Yes","proposed_pending_approval","n/a")</f>
        <v>n/a</v>
      </c>
      <c r="R88" s="18" t="str">
        <f aca="false">IF(H88="Yes","Retail swipe (proposed) / RU Express / Cash or card","n/a")</f>
        <v>n/a</v>
      </c>
      <c r="S88" s="21" t="str">
        <f aca="false">INDEX(Products!$I$2:$I$29,MATCH($E88,Products!$A$2:$A$29,0))</f>
        <v>1 package</v>
      </c>
      <c r="T88" s="18" t="str">
        <f aca="false">IF(H88="Yes",Config!$B$5,"")</f>
        <v/>
      </c>
      <c r="U88" s="21" t="str">
        <f aca="false">INDEX(Products!$J$2:$J$29,MATCH($E88,Products!$A$2:$A$29,0))</f>
        <v>No</v>
      </c>
      <c r="V88" s="18" t="s">
        <v>394</v>
      </c>
    </row>
    <row r="89" customFormat="false" ht="15" hidden="false" customHeight="true" outlineLevel="0" collapsed="false">
      <c r="A89" s="18" t="s">
        <v>488</v>
      </c>
      <c r="B89" s="18" t="s">
        <v>154</v>
      </c>
      <c r="C89" s="21" t="str">
        <f aca="false">INDEX(Locations!$B$2:$B$9,MATCH($B89,Locations!$A$2:$A$9,0))</f>
        <v>Henry's Diner</v>
      </c>
      <c r="D89" s="21" t="str">
        <f aca="false">INDEX(Locations!$C$2:$C$9,MATCH($B89,Locations!$A$2:$A$9,0))</f>
        <v>Livingston</v>
      </c>
      <c r="E89" s="18" t="s">
        <v>226</v>
      </c>
      <c r="F89" s="21" t="str">
        <f aca="false">INDEX(Products!$B$2:$B$29,MATCH($E89,Products!$A$2:$A$29,0))</f>
        <v>Excedrin Migraine</v>
      </c>
      <c r="G89" s="21" t="str">
        <f aca="false">INDEX(Products!$C$2:$C$29,MATCH($E89,Products!$A$2:$A$29,0))</f>
        <v>Pain &amp; fever</v>
      </c>
      <c r="H89" s="18" t="s">
        <v>212</v>
      </c>
      <c r="I89" s="18" t="s">
        <v>487</v>
      </c>
      <c r="J89" s="18" t="str">
        <f aca="false">IF(H89="No","-",IF(I89="Available","Good supply",IF(I89="Low stock","Few left",IF(I89="Out of stock","None",IF(I89="Temporarily unavailable","Unavailable","Unknown")))))</f>
        <v>-</v>
      </c>
      <c r="K89" s="18"/>
      <c r="L89" s="22"/>
      <c r="M89" s="18" t="str">
        <f aca="false">IF(L89="","",ROUND((Config!$B$2-L89)*1440,0))</f>
        <v/>
      </c>
      <c r="N89" s="18" t="str">
        <f aca="false">IF(K89="Staff verified",Config!$B$4,IF(OR(K89="Authorized student verified",K89="Multiple student reports",K89="Single student report"),Config!$B$3,""))</f>
        <v/>
      </c>
      <c r="O89" s="18" t="str">
        <f aca="false">IF(H89="No","n/a",IF(L89="","Unverified Data",IF(M89&gt;N89,"Stale report",K89)))</f>
        <v>n/a</v>
      </c>
      <c r="P89" s="18" t="str">
        <f aca="false">IF(AND(H89="Yes",OR(I89="Available",I89="Low stock")),IF(O89="Stale report","Verify first","Yes"),"No")</f>
        <v>No</v>
      </c>
      <c r="Q89" s="18" t="str">
        <f aca="false">IF(H89="Yes","proposed_pending_approval","n/a")</f>
        <v>n/a</v>
      </c>
      <c r="R89" s="18" t="str">
        <f aca="false">IF(H89="Yes","Retail swipe (proposed) / RU Express / Cash or card","n/a")</f>
        <v>n/a</v>
      </c>
      <c r="S89" s="21" t="str">
        <f aca="false">INDEX(Products!$I$2:$I$29,MATCH($E89,Products!$A$2:$A$29,0))</f>
        <v>1 package</v>
      </c>
      <c r="T89" s="18" t="str">
        <f aca="false">IF(H89="Yes",Config!$B$5,"")</f>
        <v/>
      </c>
      <c r="U89" s="21" t="str">
        <f aca="false">INDEX(Products!$J$2:$J$29,MATCH($E89,Products!$A$2:$A$29,0))</f>
        <v>No</v>
      </c>
      <c r="V89" s="18" t="s">
        <v>394</v>
      </c>
    </row>
    <row r="90" customFormat="false" ht="15" hidden="false" customHeight="true" outlineLevel="0" collapsed="false">
      <c r="A90" s="18" t="s">
        <v>489</v>
      </c>
      <c r="B90" s="18" t="s">
        <v>154</v>
      </c>
      <c r="C90" s="21" t="str">
        <f aca="false">INDEX(Locations!$B$2:$B$9,MATCH($B90,Locations!$A$2:$A$9,0))</f>
        <v>Henry's Diner</v>
      </c>
      <c r="D90" s="21" t="str">
        <f aca="false">INDEX(Locations!$C$2:$C$9,MATCH($B90,Locations!$A$2:$A$9,0))</f>
        <v>Livingston</v>
      </c>
      <c r="E90" s="18" t="s">
        <v>232</v>
      </c>
      <c r="F90" s="21" t="str">
        <f aca="false">INDEX(Products!$B$2:$B$29,MATCH($E90,Products!$A$2:$A$29,0))</f>
        <v>Halls Mentho-Lyptus</v>
      </c>
      <c r="G90" s="21" t="str">
        <f aca="false">INDEX(Products!$C$2:$C$29,MATCH($E90,Products!$A$2:$A$29,0))</f>
        <v>Cold &amp; cough</v>
      </c>
      <c r="H90" s="18" t="s">
        <v>123</v>
      </c>
      <c r="I90" s="18" t="s">
        <v>392</v>
      </c>
      <c r="J90" s="18" t="str">
        <f aca="false">IF(H90="No","-",IF(I90="Available","Good supply",IF(I90="Low stock","Few left",IF(I90="Out of stock","None",IF(I90="Temporarily unavailable","Unavailable","Unknown")))))</f>
        <v>Good supply</v>
      </c>
      <c r="K90" s="18" t="s">
        <v>397</v>
      </c>
      <c r="L90" s="22" t="n">
        <v>46308.5104166667</v>
      </c>
      <c r="M90" s="18" t="n">
        <f aca="false">IF(L90="","",ROUND((Config!$B$2-L90)*1440,0))</f>
        <v>165</v>
      </c>
      <c r="N90" s="18" t="str">
        <f aca="false">IF(K90="Staff verified",Config!$B$4,IF(OR(K90="Authorized student verified",K90="Multiple student reports",K90="Single student report"),Config!$B$3,""))</f>
        <v/>
      </c>
      <c r="O90" s="18" t="str">
        <f aca="false">IF(H90="No","n/a",IF(L90="","Unverified Data",IF(M90&gt;N90,"Stale report",K90)))</f>
        <v>Verified student report</v>
      </c>
      <c r="P90" s="18" t="str">
        <f aca="false">IF(AND(H90="Yes",OR(I90="Available",I90="Low stock")),IF(O90="Stale report","Verify first","Yes"),"No")</f>
        <v>Yes</v>
      </c>
      <c r="Q90" s="18" t="str">
        <f aca="false">IF(H90="Yes","proposed_pending_approval","n/a")</f>
        <v>proposed_pending_approval</v>
      </c>
      <c r="R90" s="18" t="str">
        <f aca="false">IF(H90="Yes","Retail swipe (proposed) / RU Express / Cash or card","n/a")</f>
        <v>Retail swipe (proposed) / RU Express / Cash or card</v>
      </c>
      <c r="S90" s="21" t="str">
        <f aca="false">INDEX(Products!$I$2:$I$29,MATCH($E90,Products!$A$2:$A$29,0))</f>
        <v>2 bags</v>
      </c>
      <c r="T90" s="18" t="n">
        <f aca="false">IF(H90="Yes",Config!$B$5,"")</f>
        <v>75</v>
      </c>
      <c r="U90" s="21" t="str">
        <f aca="false">INDEX(Products!$J$2:$J$29,MATCH($E90,Products!$A$2:$A$29,0))</f>
        <v>No</v>
      </c>
      <c r="V90" s="18" t="s">
        <v>394</v>
      </c>
    </row>
    <row r="91" customFormat="false" ht="15" hidden="false" customHeight="true" outlineLevel="0" collapsed="false">
      <c r="A91" s="18" t="s">
        <v>490</v>
      </c>
      <c r="B91" s="18" t="s">
        <v>154</v>
      </c>
      <c r="C91" s="21" t="str">
        <f aca="false">INDEX(Locations!$B$2:$B$9,MATCH($B91,Locations!$A$2:$A$9,0))</f>
        <v>Henry's Diner</v>
      </c>
      <c r="D91" s="21" t="str">
        <f aca="false">INDEX(Locations!$C$2:$C$9,MATCH($B91,Locations!$A$2:$A$9,0))</f>
        <v>Livingston</v>
      </c>
      <c r="E91" s="18" t="s">
        <v>240</v>
      </c>
      <c r="F91" s="21" t="str">
        <f aca="false">INDEX(Products!$B$2:$B$29,MATCH($E91,Products!$A$2:$A$29,0))</f>
        <v>Ricola Original Natural Herb</v>
      </c>
      <c r="G91" s="21" t="str">
        <f aca="false">INDEX(Products!$C$2:$C$29,MATCH($E91,Products!$A$2:$A$29,0))</f>
        <v>Cold &amp; cough</v>
      </c>
      <c r="H91" s="18" t="s">
        <v>212</v>
      </c>
      <c r="I91" s="18" t="s">
        <v>487</v>
      </c>
      <c r="J91" s="18" t="str">
        <f aca="false">IF(H91="No","-",IF(I91="Available","Good supply",IF(I91="Low stock","Few left",IF(I91="Out of stock","None",IF(I91="Temporarily unavailable","Unavailable","Unknown")))))</f>
        <v>-</v>
      </c>
      <c r="K91" s="18"/>
      <c r="L91" s="22"/>
      <c r="M91" s="18" t="str">
        <f aca="false">IF(L91="","",ROUND((Config!$B$2-L91)*1440,0))</f>
        <v/>
      </c>
      <c r="N91" s="18" t="str">
        <f aca="false">IF(K91="Staff verified",Config!$B$4,IF(OR(K91="Authorized student verified",K91="Multiple student reports",K91="Single student report"),Config!$B$3,""))</f>
        <v/>
      </c>
      <c r="O91" s="18" t="str">
        <f aca="false">IF(H91="No","n/a",IF(L91="","Unverified Data",IF(M91&gt;N91,"Stale report",K91)))</f>
        <v>n/a</v>
      </c>
      <c r="P91" s="18" t="str">
        <f aca="false">IF(AND(H91="Yes",OR(I91="Available",I91="Low stock")),IF(O91="Stale report","Verify first","Yes"),"No")</f>
        <v>No</v>
      </c>
      <c r="Q91" s="18" t="str">
        <f aca="false">IF(H91="Yes","proposed_pending_approval","n/a")</f>
        <v>n/a</v>
      </c>
      <c r="R91" s="18" t="str">
        <f aca="false">IF(H91="Yes","Retail swipe (proposed) / RU Express / Cash or card","n/a")</f>
        <v>n/a</v>
      </c>
      <c r="S91" s="21" t="str">
        <f aca="false">INDEX(Products!$I$2:$I$29,MATCH($E91,Products!$A$2:$A$29,0))</f>
        <v>2 bags</v>
      </c>
      <c r="T91" s="18" t="str">
        <f aca="false">IF(H91="Yes",Config!$B$5,"")</f>
        <v/>
      </c>
      <c r="U91" s="21" t="str">
        <f aca="false">INDEX(Products!$J$2:$J$29,MATCH($E91,Products!$A$2:$A$29,0))</f>
        <v>No</v>
      </c>
      <c r="V91" s="18" t="s">
        <v>394</v>
      </c>
    </row>
    <row r="92" customFormat="false" ht="15" hidden="false" customHeight="true" outlineLevel="0" collapsed="false">
      <c r="A92" s="18" t="s">
        <v>491</v>
      </c>
      <c r="B92" s="18" t="s">
        <v>154</v>
      </c>
      <c r="C92" s="21" t="str">
        <f aca="false">INDEX(Locations!$B$2:$B$9,MATCH($B92,Locations!$A$2:$A$9,0))</f>
        <v>Henry's Diner</v>
      </c>
      <c r="D92" s="21" t="str">
        <f aca="false">INDEX(Locations!$C$2:$C$9,MATCH($B92,Locations!$A$2:$A$9,0))</f>
        <v>Livingston</v>
      </c>
      <c r="E92" s="18" t="s">
        <v>245</v>
      </c>
      <c r="F92" s="21" t="str">
        <f aca="false">INDEX(Products!$B$2:$B$29,MATCH($E92,Products!$A$2:$A$29,0))</f>
        <v>Chloraseptic Sore Throat Spray</v>
      </c>
      <c r="G92" s="21" t="str">
        <f aca="false">INDEX(Products!$C$2:$C$29,MATCH($E92,Products!$A$2:$A$29,0))</f>
        <v>Cold &amp; cough</v>
      </c>
      <c r="H92" s="18" t="s">
        <v>212</v>
      </c>
      <c r="I92" s="18" t="s">
        <v>487</v>
      </c>
      <c r="J92" s="18" t="str">
        <f aca="false">IF(H92="No","-",IF(I92="Available","Good supply",IF(I92="Low stock","Few left",IF(I92="Out of stock","None",IF(I92="Temporarily unavailable","Unavailable","Unknown")))))</f>
        <v>-</v>
      </c>
      <c r="K92" s="18"/>
      <c r="L92" s="22"/>
      <c r="M92" s="18" t="str">
        <f aca="false">IF(L92="","",ROUND((Config!$B$2-L92)*1440,0))</f>
        <v/>
      </c>
      <c r="N92" s="18" t="str">
        <f aca="false">IF(K92="Staff verified",Config!$B$4,IF(OR(K92="Authorized student verified",K92="Multiple student reports",K92="Single student report"),Config!$B$3,""))</f>
        <v/>
      </c>
      <c r="O92" s="18" t="str">
        <f aca="false">IF(H92="No","n/a",IF(L92="","Unverified Data",IF(M92&gt;N92,"Stale report",K92)))</f>
        <v>n/a</v>
      </c>
      <c r="P92" s="18" t="str">
        <f aca="false">IF(AND(H92="Yes",OR(I92="Available",I92="Low stock")),IF(O92="Stale report","Verify first","Yes"),"No")</f>
        <v>No</v>
      </c>
      <c r="Q92" s="18" t="str">
        <f aca="false">IF(H92="Yes","proposed_pending_approval","n/a")</f>
        <v>n/a</v>
      </c>
      <c r="R92" s="18" t="str">
        <f aca="false">IF(H92="Yes","Retail swipe (proposed) / RU Express / Cash or card","n/a")</f>
        <v>n/a</v>
      </c>
      <c r="S92" s="21" t="str">
        <f aca="false">INDEX(Products!$I$2:$I$29,MATCH($E92,Products!$A$2:$A$29,0))</f>
        <v>1 bottle</v>
      </c>
      <c r="T92" s="18" t="str">
        <f aca="false">IF(H92="Yes",Config!$B$5,"")</f>
        <v/>
      </c>
      <c r="U92" s="21" t="str">
        <f aca="false">INDEX(Products!$J$2:$J$29,MATCH($E92,Products!$A$2:$A$29,0))</f>
        <v>No</v>
      </c>
      <c r="V92" s="18" t="s">
        <v>394</v>
      </c>
    </row>
    <row r="93" customFormat="false" ht="15" hidden="false" customHeight="true" outlineLevel="0" collapsed="false">
      <c r="A93" s="18" t="s">
        <v>492</v>
      </c>
      <c r="B93" s="18" t="s">
        <v>154</v>
      </c>
      <c r="C93" s="21" t="str">
        <f aca="false">INDEX(Locations!$B$2:$B$9,MATCH($B93,Locations!$A$2:$A$9,0))</f>
        <v>Henry's Diner</v>
      </c>
      <c r="D93" s="21" t="str">
        <f aca="false">INDEX(Locations!$C$2:$C$9,MATCH($B93,Locations!$A$2:$A$9,0))</f>
        <v>Livingston</v>
      </c>
      <c r="E93" s="18" t="s">
        <v>251</v>
      </c>
      <c r="F93" s="21" t="str">
        <f aca="false">INDEX(Products!$B$2:$B$29,MATCH($E93,Products!$A$2:$A$29,0))</f>
        <v>Mucinex</v>
      </c>
      <c r="G93" s="21" t="str">
        <f aca="false">INDEX(Products!$C$2:$C$29,MATCH($E93,Products!$A$2:$A$29,0))</f>
        <v>Cold &amp; cough</v>
      </c>
      <c r="H93" s="18" t="s">
        <v>123</v>
      </c>
      <c r="I93" s="18" t="s">
        <v>392</v>
      </c>
      <c r="J93" s="18" t="str">
        <f aca="false">IF(H93="No","-",IF(I93="Available","Good supply",IF(I93="Low stock","Few left",IF(I93="Out of stock","None",IF(I93="Temporarily unavailable","Unavailable","Unknown")))))</f>
        <v>Good supply</v>
      </c>
      <c r="K93" s="18" t="s">
        <v>397</v>
      </c>
      <c r="L93" s="22" t="n">
        <v>46308.6041666667</v>
      </c>
      <c r="M93" s="18" t="n">
        <f aca="false">IF(L93="","",ROUND((Config!$B$2-L93)*1440,0))</f>
        <v>30</v>
      </c>
      <c r="N93" s="18" t="str">
        <f aca="false">IF(K93="Staff verified",Config!$B$4,IF(OR(K93="Authorized student verified",K93="Multiple student reports",K93="Single student report"),Config!$B$3,""))</f>
        <v/>
      </c>
      <c r="O93" s="18" t="str">
        <f aca="false">IF(H93="No","n/a",IF(L93="","Unverified Data",IF(M93&gt;N93,"Stale report",K93)))</f>
        <v>Verified student report</v>
      </c>
      <c r="P93" s="18" t="str">
        <f aca="false">IF(AND(H93="Yes",OR(I93="Available",I93="Low stock")),IF(O93="Stale report","Verify first","Yes"),"No")</f>
        <v>Yes</v>
      </c>
      <c r="Q93" s="18" t="str">
        <f aca="false">IF(H93="Yes","proposed_pending_approval","n/a")</f>
        <v>proposed_pending_approval</v>
      </c>
      <c r="R93" s="18" t="str">
        <f aca="false">IF(H93="Yes","Retail swipe (proposed) / RU Express / Cash or card","n/a")</f>
        <v>Retail swipe (proposed) / RU Express / Cash or card</v>
      </c>
      <c r="S93" s="21" t="str">
        <f aca="false">INDEX(Products!$I$2:$I$29,MATCH($E93,Products!$A$2:$A$29,0))</f>
        <v>1 package</v>
      </c>
      <c r="T93" s="18" t="n">
        <f aca="false">IF(H93="Yes",Config!$B$5,"")</f>
        <v>75</v>
      </c>
      <c r="U93" s="21" t="str">
        <f aca="false">INDEX(Products!$J$2:$J$29,MATCH($E93,Products!$A$2:$A$29,0))</f>
        <v>No</v>
      </c>
      <c r="V93" s="18" t="s">
        <v>394</v>
      </c>
    </row>
    <row r="94" customFormat="false" ht="15" hidden="false" customHeight="true" outlineLevel="0" collapsed="false">
      <c r="A94" s="18" t="s">
        <v>493</v>
      </c>
      <c r="B94" s="18" t="s">
        <v>154</v>
      </c>
      <c r="C94" s="21" t="str">
        <f aca="false">INDEX(Locations!$B$2:$B$9,MATCH($B94,Locations!$A$2:$A$9,0))</f>
        <v>Henry's Diner</v>
      </c>
      <c r="D94" s="21" t="str">
        <f aca="false">INDEX(Locations!$C$2:$C$9,MATCH($B94,Locations!$A$2:$A$9,0))</f>
        <v>Livingston</v>
      </c>
      <c r="E94" s="18" t="s">
        <v>257</v>
      </c>
      <c r="F94" s="21" t="str">
        <f aca="false">INDEX(Products!$B$2:$B$29,MATCH($E94,Products!$A$2:$A$29,0))</f>
        <v>Robitussin DM</v>
      </c>
      <c r="G94" s="21" t="str">
        <f aca="false">INDEX(Products!$C$2:$C$29,MATCH($E94,Products!$A$2:$A$29,0))</f>
        <v>Cold &amp; cough</v>
      </c>
      <c r="H94" s="18" t="s">
        <v>212</v>
      </c>
      <c r="I94" s="18" t="s">
        <v>487</v>
      </c>
      <c r="J94" s="18" t="str">
        <f aca="false">IF(H94="No","-",IF(I94="Available","Good supply",IF(I94="Low stock","Few left",IF(I94="Out of stock","None",IF(I94="Temporarily unavailable","Unavailable","Unknown")))))</f>
        <v>-</v>
      </c>
      <c r="K94" s="18"/>
      <c r="L94" s="22"/>
      <c r="M94" s="18" t="str">
        <f aca="false">IF(L94="","",ROUND((Config!$B$2-L94)*1440,0))</f>
        <v/>
      </c>
      <c r="N94" s="18" t="str">
        <f aca="false">IF(K94="Staff verified",Config!$B$4,IF(OR(K94="Authorized student verified",K94="Multiple student reports",K94="Single student report"),Config!$B$3,""))</f>
        <v/>
      </c>
      <c r="O94" s="18" t="str">
        <f aca="false">IF(H94="No","n/a",IF(L94="","Unverified Data",IF(M94&gt;N94,"Stale report",K94)))</f>
        <v>n/a</v>
      </c>
      <c r="P94" s="18" t="str">
        <f aca="false">IF(AND(H94="Yes",OR(I94="Available",I94="Low stock")),IF(O94="Stale report","Verify first","Yes"),"No")</f>
        <v>No</v>
      </c>
      <c r="Q94" s="18" t="str">
        <f aca="false">IF(H94="Yes","proposed_pending_approval","n/a")</f>
        <v>n/a</v>
      </c>
      <c r="R94" s="18" t="str">
        <f aca="false">IF(H94="Yes","Retail swipe (proposed) / RU Express / Cash or card","n/a")</f>
        <v>n/a</v>
      </c>
      <c r="S94" s="21" t="str">
        <f aca="false">INDEX(Products!$I$2:$I$29,MATCH($E94,Products!$A$2:$A$29,0))</f>
        <v>1 bottle</v>
      </c>
      <c r="T94" s="18" t="str">
        <f aca="false">IF(H94="Yes",Config!$B$5,"")</f>
        <v/>
      </c>
      <c r="U94" s="21" t="str">
        <f aca="false">INDEX(Products!$J$2:$J$29,MATCH($E94,Products!$A$2:$A$29,0))</f>
        <v>No</v>
      </c>
      <c r="V94" s="18" t="s">
        <v>394</v>
      </c>
    </row>
    <row r="95" customFormat="false" ht="15" hidden="false" customHeight="true" outlineLevel="0" collapsed="false">
      <c r="A95" s="18" t="s">
        <v>494</v>
      </c>
      <c r="B95" s="18" t="s">
        <v>154</v>
      </c>
      <c r="C95" s="21" t="str">
        <f aca="false">INDEX(Locations!$B$2:$B$9,MATCH($B95,Locations!$A$2:$A$9,0))</f>
        <v>Henry's Diner</v>
      </c>
      <c r="D95" s="21" t="str">
        <f aca="false">INDEX(Locations!$C$2:$C$9,MATCH($B95,Locations!$A$2:$A$9,0))</f>
        <v>Livingston</v>
      </c>
      <c r="E95" s="18" t="s">
        <v>263</v>
      </c>
      <c r="F95" s="21" t="str">
        <f aca="false">INDEX(Products!$B$2:$B$29,MATCH($E95,Products!$A$2:$A$29,0))</f>
        <v>Simply Saline Nasal Mist</v>
      </c>
      <c r="G95" s="21" t="str">
        <f aca="false">INDEX(Products!$C$2:$C$29,MATCH($E95,Products!$A$2:$A$29,0))</f>
        <v>Cold &amp; cough</v>
      </c>
      <c r="H95" s="18" t="s">
        <v>212</v>
      </c>
      <c r="I95" s="18" t="s">
        <v>487</v>
      </c>
      <c r="J95" s="18" t="str">
        <f aca="false">IF(H95="No","-",IF(I95="Available","Good supply",IF(I95="Low stock","Few left",IF(I95="Out of stock","None",IF(I95="Temporarily unavailable","Unavailable","Unknown")))))</f>
        <v>-</v>
      </c>
      <c r="K95" s="18"/>
      <c r="L95" s="22"/>
      <c r="M95" s="18" t="str">
        <f aca="false">IF(L95="","",ROUND((Config!$B$2-L95)*1440,0))</f>
        <v/>
      </c>
      <c r="N95" s="18" t="str">
        <f aca="false">IF(K95="Staff verified",Config!$B$4,IF(OR(K95="Authorized student verified",K95="Multiple student reports",K95="Single student report"),Config!$B$3,""))</f>
        <v/>
      </c>
      <c r="O95" s="18" t="str">
        <f aca="false">IF(H95="No","n/a",IF(L95="","Unverified Data",IF(M95&gt;N95,"Stale report",K95)))</f>
        <v>n/a</v>
      </c>
      <c r="P95" s="18" t="str">
        <f aca="false">IF(AND(H95="Yes",OR(I95="Available",I95="Low stock")),IF(O95="Stale report","Verify first","Yes"),"No")</f>
        <v>No</v>
      </c>
      <c r="Q95" s="18" t="str">
        <f aca="false">IF(H95="Yes","proposed_pending_approval","n/a")</f>
        <v>n/a</v>
      </c>
      <c r="R95" s="18" t="str">
        <f aca="false">IF(H95="Yes","Retail swipe (proposed) / RU Express / Cash or card","n/a")</f>
        <v>n/a</v>
      </c>
      <c r="S95" s="21" t="str">
        <f aca="false">INDEX(Products!$I$2:$I$29,MATCH($E95,Products!$A$2:$A$29,0))</f>
        <v>1 bottle</v>
      </c>
      <c r="T95" s="18" t="str">
        <f aca="false">IF(H95="Yes",Config!$B$5,"")</f>
        <v/>
      </c>
      <c r="U95" s="21" t="str">
        <f aca="false">INDEX(Products!$J$2:$J$29,MATCH($E95,Products!$A$2:$A$29,0))</f>
        <v>No</v>
      </c>
      <c r="V95" s="18" t="s">
        <v>394</v>
      </c>
    </row>
    <row r="96" customFormat="false" ht="15" hidden="false" customHeight="true" outlineLevel="0" collapsed="false">
      <c r="A96" s="18" t="s">
        <v>495</v>
      </c>
      <c r="B96" s="18" t="s">
        <v>154</v>
      </c>
      <c r="C96" s="21" t="str">
        <f aca="false">INDEX(Locations!$B$2:$B$9,MATCH($B96,Locations!$A$2:$A$9,0))</f>
        <v>Henry's Diner</v>
      </c>
      <c r="D96" s="21" t="str">
        <f aca="false">INDEX(Locations!$C$2:$C$9,MATCH($B96,Locations!$A$2:$A$9,0))</f>
        <v>Livingston</v>
      </c>
      <c r="E96" s="18" t="s">
        <v>268</v>
      </c>
      <c r="F96" s="21" t="str">
        <f aca="false">INDEX(Products!$B$2:$B$29,MATCH($E96,Products!$A$2:$A$29,0))</f>
        <v>Claritin</v>
      </c>
      <c r="G96" s="21" t="str">
        <f aca="false">INDEX(Products!$C$2:$C$29,MATCH($E96,Products!$A$2:$A$29,0))</f>
        <v>Allergy</v>
      </c>
      <c r="H96" s="18" t="s">
        <v>123</v>
      </c>
      <c r="I96" s="18" t="s">
        <v>392</v>
      </c>
      <c r="J96" s="18" t="str">
        <f aca="false">IF(H96="No","-",IF(I96="Available","Good supply",IF(I96="Low stock","Few left",IF(I96="Out of stock","None",IF(I96="Temporarily unavailable","Unavailable","Unknown")))))</f>
        <v>Good supply</v>
      </c>
      <c r="K96" s="18" t="s">
        <v>409</v>
      </c>
      <c r="L96" s="22"/>
      <c r="M96" s="18" t="str">
        <f aca="false">IF(L96="","",ROUND((Config!$B$2-L96)*1440,0))</f>
        <v/>
      </c>
      <c r="N96" s="18" t="str">
        <f aca="false">IF(K96="Staff verified",Config!$B$4,IF(OR(K96="Authorized student verified",K96="Multiple student reports",K96="Single student report"),Config!$B$3,""))</f>
        <v/>
      </c>
      <c r="O96" s="18" t="str">
        <f aca="false">IF(H96="No","n/a",IF(L96="","Unverified Data",IF(M96&gt;N96,"Stale report",K96)))</f>
        <v>Unverified Data</v>
      </c>
      <c r="P96" s="18" t="str">
        <f aca="false">IF(AND(H96="Yes",OR(I96="Available",I96="Low stock")),IF(O96="Stale report","Verify first","Yes"),"No")</f>
        <v>Yes</v>
      </c>
      <c r="Q96" s="18" t="str">
        <f aca="false">IF(H96="Yes","proposed_pending_approval","n/a")</f>
        <v>proposed_pending_approval</v>
      </c>
      <c r="R96" s="18" t="str">
        <f aca="false">IF(H96="Yes","Retail swipe (proposed) / RU Express / Cash or card","n/a")</f>
        <v>Retail swipe (proposed) / RU Express / Cash or card</v>
      </c>
      <c r="S96" s="21" t="str">
        <f aca="false">INDEX(Products!$I$2:$I$29,MATCH($E96,Products!$A$2:$A$29,0))</f>
        <v>1 package</v>
      </c>
      <c r="T96" s="18" t="n">
        <f aca="false">IF(H96="Yes",Config!$B$5,"")</f>
        <v>75</v>
      </c>
      <c r="U96" s="21" t="str">
        <f aca="false">INDEX(Products!$J$2:$J$29,MATCH($E96,Products!$A$2:$A$29,0))</f>
        <v>No</v>
      </c>
      <c r="V96" s="18" t="s">
        <v>394</v>
      </c>
    </row>
    <row r="97" customFormat="false" ht="15" hidden="false" customHeight="true" outlineLevel="0" collapsed="false">
      <c r="A97" s="18" t="s">
        <v>496</v>
      </c>
      <c r="B97" s="18" t="s">
        <v>154</v>
      </c>
      <c r="C97" s="21" t="str">
        <f aca="false">INDEX(Locations!$B$2:$B$9,MATCH($B97,Locations!$A$2:$A$9,0))</f>
        <v>Henry's Diner</v>
      </c>
      <c r="D97" s="21" t="str">
        <f aca="false">INDEX(Locations!$C$2:$C$9,MATCH($B97,Locations!$A$2:$A$9,0))</f>
        <v>Livingston</v>
      </c>
      <c r="E97" s="18" t="s">
        <v>275</v>
      </c>
      <c r="F97" s="21" t="str">
        <f aca="false">INDEX(Products!$B$2:$B$29,MATCH($E97,Products!$A$2:$A$29,0))</f>
        <v>Zyrtec</v>
      </c>
      <c r="G97" s="21" t="str">
        <f aca="false">INDEX(Products!$C$2:$C$29,MATCH($E97,Products!$A$2:$A$29,0))</f>
        <v>Allergy</v>
      </c>
      <c r="H97" s="18" t="s">
        <v>212</v>
      </c>
      <c r="I97" s="18" t="s">
        <v>487</v>
      </c>
      <c r="J97" s="18" t="str">
        <f aca="false">IF(H97="No","-",IF(I97="Available","Good supply",IF(I97="Low stock","Few left",IF(I97="Out of stock","None",IF(I97="Temporarily unavailable","Unavailable","Unknown")))))</f>
        <v>-</v>
      </c>
      <c r="K97" s="18"/>
      <c r="L97" s="22"/>
      <c r="M97" s="18" t="str">
        <f aca="false">IF(L97="","",ROUND((Config!$B$2-L97)*1440,0))</f>
        <v/>
      </c>
      <c r="N97" s="18" t="str">
        <f aca="false">IF(K97="Staff verified",Config!$B$4,IF(OR(K97="Authorized student verified",K97="Multiple student reports",K97="Single student report"),Config!$B$3,""))</f>
        <v/>
      </c>
      <c r="O97" s="18" t="str">
        <f aca="false">IF(H97="No","n/a",IF(L97="","Unverified Data",IF(M97&gt;N97,"Stale report",K97)))</f>
        <v>n/a</v>
      </c>
      <c r="P97" s="18" t="str">
        <f aca="false">IF(AND(H97="Yes",OR(I97="Available",I97="Low stock")),IF(O97="Stale report","Verify first","Yes"),"No")</f>
        <v>No</v>
      </c>
      <c r="Q97" s="18" t="str">
        <f aca="false">IF(H97="Yes","proposed_pending_approval","n/a")</f>
        <v>n/a</v>
      </c>
      <c r="R97" s="18" t="str">
        <f aca="false">IF(H97="Yes","Retail swipe (proposed) / RU Express / Cash or card","n/a")</f>
        <v>n/a</v>
      </c>
      <c r="S97" s="21" t="str">
        <f aca="false">INDEX(Products!$I$2:$I$29,MATCH($E97,Products!$A$2:$A$29,0))</f>
        <v>1 package</v>
      </c>
      <c r="T97" s="18" t="str">
        <f aca="false">IF(H97="Yes",Config!$B$5,"")</f>
        <v/>
      </c>
      <c r="U97" s="21" t="str">
        <f aca="false">INDEX(Products!$J$2:$J$29,MATCH($E97,Products!$A$2:$A$29,0))</f>
        <v>No</v>
      </c>
      <c r="V97" s="18" t="s">
        <v>394</v>
      </c>
    </row>
    <row r="98" customFormat="false" ht="15" hidden="false" customHeight="true" outlineLevel="0" collapsed="false">
      <c r="A98" s="18" t="s">
        <v>497</v>
      </c>
      <c r="B98" s="18" t="s">
        <v>154</v>
      </c>
      <c r="C98" s="21" t="str">
        <f aca="false">INDEX(Locations!$B$2:$B$9,MATCH($B98,Locations!$A$2:$A$9,0))</f>
        <v>Henry's Diner</v>
      </c>
      <c r="D98" s="21" t="str">
        <f aca="false">INDEX(Locations!$C$2:$C$9,MATCH($B98,Locations!$A$2:$A$9,0))</f>
        <v>Livingston</v>
      </c>
      <c r="E98" s="18" t="s">
        <v>281</v>
      </c>
      <c r="F98" s="21" t="str">
        <f aca="false">INDEX(Products!$B$2:$B$29,MATCH($E98,Products!$A$2:$A$29,0))</f>
        <v>Benadryl</v>
      </c>
      <c r="G98" s="21" t="str">
        <f aca="false">INDEX(Products!$C$2:$C$29,MATCH($E98,Products!$A$2:$A$29,0))</f>
        <v>Allergy</v>
      </c>
      <c r="H98" s="18" t="s">
        <v>212</v>
      </c>
      <c r="I98" s="18" t="s">
        <v>487</v>
      </c>
      <c r="J98" s="18" t="str">
        <f aca="false">IF(H98="No","-",IF(I98="Available","Good supply",IF(I98="Low stock","Few left",IF(I98="Out of stock","None",IF(I98="Temporarily unavailable","Unavailable","Unknown")))))</f>
        <v>-</v>
      </c>
      <c r="K98" s="18"/>
      <c r="L98" s="22"/>
      <c r="M98" s="18" t="str">
        <f aca="false">IF(L98="","",ROUND((Config!$B$2-L98)*1440,0))</f>
        <v/>
      </c>
      <c r="N98" s="18" t="str">
        <f aca="false">IF(K98="Staff verified",Config!$B$4,IF(OR(K98="Authorized student verified",K98="Multiple student reports",K98="Single student report"),Config!$B$3,""))</f>
        <v/>
      </c>
      <c r="O98" s="18" t="str">
        <f aca="false">IF(H98="No","n/a",IF(L98="","Unverified Data",IF(M98&gt;N98,"Stale report",K98)))</f>
        <v>n/a</v>
      </c>
      <c r="P98" s="18" t="str">
        <f aca="false">IF(AND(H98="Yes",OR(I98="Available",I98="Low stock")),IF(O98="Stale report","Verify first","Yes"),"No")</f>
        <v>No</v>
      </c>
      <c r="Q98" s="18" t="str">
        <f aca="false">IF(H98="Yes","proposed_pending_approval","n/a")</f>
        <v>n/a</v>
      </c>
      <c r="R98" s="18" t="str">
        <f aca="false">IF(H98="Yes","Retail swipe (proposed) / RU Express / Cash or card","n/a")</f>
        <v>n/a</v>
      </c>
      <c r="S98" s="21" t="str">
        <f aca="false">INDEX(Products!$I$2:$I$29,MATCH($E98,Products!$A$2:$A$29,0))</f>
        <v>1 package</v>
      </c>
      <c r="T98" s="18" t="str">
        <f aca="false">IF(H98="Yes",Config!$B$5,"")</f>
        <v/>
      </c>
      <c r="U98" s="21" t="str">
        <f aca="false">INDEX(Products!$J$2:$J$29,MATCH($E98,Products!$A$2:$A$29,0))</f>
        <v>No</v>
      </c>
      <c r="V98" s="18" t="s">
        <v>394</v>
      </c>
    </row>
    <row r="99" customFormat="false" ht="15" hidden="false" customHeight="true" outlineLevel="0" collapsed="false">
      <c r="A99" s="18" t="s">
        <v>498</v>
      </c>
      <c r="B99" s="18" t="s">
        <v>154</v>
      </c>
      <c r="C99" s="21" t="str">
        <f aca="false">INDEX(Locations!$B$2:$B$9,MATCH($B99,Locations!$A$2:$A$9,0))</f>
        <v>Henry's Diner</v>
      </c>
      <c r="D99" s="21" t="str">
        <f aca="false">INDEX(Locations!$C$2:$C$9,MATCH($B99,Locations!$A$2:$A$9,0))</f>
        <v>Livingston</v>
      </c>
      <c r="E99" s="18" t="s">
        <v>287</v>
      </c>
      <c r="F99" s="21" t="str">
        <f aca="false">INDEX(Products!$B$2:$B$29,MATCH($E99,Products!$A$2:$A$29,0))</f>
        <v>Tums</v>
      </c>
      <c r="G99" s="21" t="str">
        <f aca="false">INDEX(Products!$C$2:$C$29,MATCH($E99,Products!$A$2:$A$29,0))</f>
        <v>Digestive</v>
      </c>
      <c r="H99" s="18" t="s">
        <v>123</v>
      </c>
      <c r="I99" s="18" t="s">
        <v>413</v>
      </c>
      <c r="J99" s="18" t="str">
        <f aca="false">IF(H99="No","-",IF(I99="Available","Good supply",IF(I99="Low stock","Few left",IF(I99="Out of stock","None",IF(I99="Temporarily unavailable","Unavailable","Unknown")))))</f>
        <v>Unknown</v>
      </c>
      <c r="K99" s="18" t="s">
        <v>409</v>
      </c>
      <c r="L99" s="22"/>
      <c r="M99" s="18" t="str">
        <f aca="false">IF(L99="","",ROUND((Config!$B$2-L99)*1440,0))</f>
        <v/>
      </c>
      <c r="N99" s="18" t="str">
        <f aca="false">IF(K99="Staff verified",Config!$B$4,IF(OR(K99="Authorized student verified",K99="Multiple student reports",K99="Single student report"),Config!$B$3,""))</f>
        <v/>
      </c>
      <c r="O99" s="18" t="str">
        <f aca="false">IF(H99="No","n/a",IF(L99="","Unverified Data",IF(M99&gt;N99,"Stale report",K99)))</f>
        <v>Unverified Data</v>
      </c>
      <c r="P99" s="18" t="str">
        <f aca="false">IF(AND(H99="Yes",OR(I99="Available",I99="Low stock")),IF(O99="Stale report","Verify first","Yes"),"No")</f>
        <v>No</v>
      </c>
      <c r="Q99" s="18" t="str">
        <f aca="false">IF(H99="Yes","proposed_pending_approval","n/a")</f>
        <v>proposed_pending_approval</v>
      </c>
      <c r="R99" s="18" t="str">
        <f aca="false">IF(H99="Yes","Retail swipe (proposed) / RU Express / Cash or card","n/a")</f>
        <v>Retail swipe (proposed) / RU Express / Cash or card</v>
      </c>
      <c r="S99" s="21" t="str">
        <f aca="false">INDEX(Products!$I$2:$I$29,MATCH($E99,Products!$A$2:$A$29,0))</f>
        <v>1 package</v>
      </c>
      <c r="T99" s="18" t="n">
        <f aca="false">IF(H99="Yes",Config!$B$5,"")</f>
        <v>75</v>
      </c>
      <c r="U99" s="21" t="str">
        <f aca="false">INDEX(Products!$J$2:$J$29,MATCH($E99,Products!$A$2:$A$29,0))</f>
        <v>No</v>
      </c>
      <c r="V99" s="18" t="s">
        <v>394</v>
      </c>
    </row>
    <row r="100" customFormat="false" ht="15" hidden="false" customHeight="true" outlineLevel="0" collapsed="false">
      <c r="A100" s="18" t="s">
        <v>499</v>
      </c>
      <c r="B100" s="18" t="s">
        <v>154</v>
      </c>
      <c r="C100" s="21" t="str">
        <f aca="false">INDEX(Locations!$B$2:$B$9,MATCH($B100,Locations!$A$2:$A$9,0))</f>
        <v>Henry's Diner</v>
      </c>
      <c r="D100" s="21" t="str">
        <f aca="false">INDEX(Locations!$C$2:$C$9,MATCH($B100,Locations!$A$2:$A$9,0))</f>
        <v>Livingston</v>
      </c>
      <c r="E100" s="18" t="s">
        <v>293</v>
      </c>
      <c r="F100" s="21" t="str">
        <f aca="false">INDEX(Products!$B$2:$B$29,MATCH($E100,Products!$A$2:$A$29,0))</f>
        <v>Pepto-Bismol</v>
      </c>
      <c r="G100" s="21" t="str">
        <f aca="false">INDEX(Products!$C$2:$C$29,MATCH($E100,Products!$A$2:$A$29,0))</f>
        <v>Digestive</v>
      </c>
      <c r="H100" s="18" t="s">
        <v>123</v>
      </c>
      <c r="I100" s="18" t="s">
        <v>392</v>
      </c>
      <c r="J100" s="18" t="str">
        <f aca="false">IF(H100="No","-",IF(I100="Available","Good supply",IF(I100="Low stock","Few left",IF(I100="Out of stock","None",IF(I100="Temporarily unavailable","Unavailable","Unknown")))))</f>
        <v>Good supply</v>
      </c>
      <c r="K100" s="18" t="s">
        <v>393</v>
      </c>
      <c r="L100" s="22" t="n">
        <v>46308.5625</v>
      </c>
      <c r="M100" s="18" t="n">
        <f aca="false">IF(L100="","",ROUND((Config!$B$2-L100)*1440,0))</f>
        <v>90</v>
      </c>
      <c r="N100" s="18" t="n">
        <f aca="false">IF(K100="Staff verified",Config!$B$4,IF(OR(K100="Authorized student verified",K100="Multiple student reports",K100="Single student report"),Config!$B$3,""))</f>
        <v>240</v>
      </c>
      <c r="O100" s="18" t="str">
        <f aca="false">IF(H100="No","n/a",IF(L100="","Unverified Data",IF(M100&gt;N100,"Stale report",K100)))</f>
        <v>Staff verified</v>
      </c>
      <c r="P100" s="18" t="str">
        <f aca="false">IF(AND(H100="Yes",OR(I100="Available",I100="Low stock")),IF(O100="Stale report","Verify first","Yes"),"No")</f>
        <v>Yes</v>
      </c>
      <c r="Q100" s="18" t="str">
        <f aca="false">IF(H100="Yes","proposed_pending_approval","n/a")</f>
        <v>proposed_pending_approval</v>
      </c>
      <c r="R100" s="18" t="str">
        <f aca="false">IF(H100="Yes","Retail swipe (proposed) / RU Express / Cash or card","n/a")</f>
        <v>Retail swipe (proposed) / RU Express / Cash or card</v>
      </c>
      <c r="S100" s="21" t="str">
        <f aca="false">INDEX(Products!$I$2:$I$29,MATCH($E100,Products!$A$2:$A$29,0))</f>
        <v>1 package</v>
      </c>
      <c r="T100" s="18" t="n">
        <f aca="false">IF(H100="Yes",Config!$B$5,"")</f>
        <v>75</v>
      </c>
      <c r="U100" s="21" t="str">
        <f aca="false">INDEX(Products!$J$2:$J$29,MATCH($E100,Products!$A$2:$A$29,0))</f>
        <v>No</v>
      </c>
      <c r="V100" s="18" t="s">
        <v>394</v>
      </c>
    </row>
    <row r="101" customFormat="false" ht="15" hidden="false" customHeight="true" outlineLevel="0" collapsed="false">
      <c r="A101" s="18" t="s">
        <v>500</v>
      </c>
      <c r="B101" s="18" t="s">
        <v>154</v>
      </c>
      <c r="C101" s="21" t="str">
        <f aca="false">INDEX(Locations!$B$2:$B$9,MATCH($B101,Locations!$A$2:$A$9,0))</f>
        <v>Henry's Diner</v>
      </c>
      <c r="D101" s="21" t="str">
        <f aca="false">INDEX(Locations!$C$2:$C$9,MATCH($B101,Locations!$A$2:$A$9,0))</f>
        <v>Livingston</v>
      </c>
      <c r="E101" s="18" t="s">
        <v>299</v>
      </c>
      <c r="F101" s="21" t="str">
        <f aca="false">INDEX(Products!$B$2:$B$29,MATCH($E101,Products!$A$2:$A$29,0))</f>
        <v>Imodium A-D</v>
      </c>
      <c r="G101" s="21" t="str">
        <f aca="false">INDEX(Products!$C$2:$C$29,MATCH($E101,Products!$A$2:$A$29,0))</f>
        <v>Digestive</v>
      </c>
      <c r="H101" s="18" t="s">
        <v>212</v>
      </c>
      <c r="I101" s="18" t="s">
        <v>487</v>
      </c>
      <c r="J101" s="18" t="str">
        <f aca="false">IF(H101="No","-",IF(I101="Available","Good supply",IF(I101="Low stock","Few left",IF(I101="Out of stock","None",IF(I101="Temporarily unavailable","Unavailable","Unknown")))))</f>
        <v>-</v>
      </c>
      <c r="K101" s="18"/>
      <c r="L101" s="22"/>
      <c r="M101" s="18" t="str">
        <f aca="false">IF(L101="","",ROUND((Config!$B$2-L101)*1440,0))</f>
        <v/>
      </c>
      <c r="N101" s="18" t="str">
        <f aca="false">IF(K101="Staff verified",Config!$B$4,IF(OR(K101="Authorized student verified",K101="Multiple student reports",K101="Single student report"),Config!$B$3,""))</f>
        <v/>
      </c>
      <c r="O101" s="18" t="str">
        <f aca="false">IF(H101="No","n/a",IF(L101="","Unverified Data",IF(M101&gt;N101,"Stale report",K101)))</f>
        <v>n/a</v>
      </c>
      <c r="P101" s="18" t="str">
        <f aca="false">IF(AND(H101="Yes",OR(I101="Available",I101="Low stock")),IF(O101="Stale report","Verify first","Yes"),"No")</f>
        <v>No</v>
      </c>
      <c r="Q101" s="18" t="str">
        <f aca="false">IF(H101="Yes","proposed_pending_approval","n/a")</f>
        <v>n/a</v>
      </c>
      <c r="R101" s="18" t="str">
        <f aca="false">IF(H101="Yes","Retail swipe (proposed) / RU Express / Cash or card","n/a")</f>
        <v>n/a</v>
      </c>
      <c r="S101" s="21" t="str">
        <f aca="false">INDEX(Products!$I$2:$I$29,MATCH($E101,Products!$A$2:$A$29,0))</f>
        <v>1 package</v>
      </c>
      <c r="T101" s="18" t="str">
        <f aca="false">IF(H101="Yes",Config!$B$5,"")</f>
        <v/>
      </c>
      <c r="U101" s="21" t="str">
        <f aca="false">INDEX(Products!$J$2:$J$29,MATCH($E101,Products!$A$2:$A$29,0))</f>
        <v>No</v>
      </c>
      <c r="V101" s="18" t="s">
        <v>394</v>
      </c>
    </row>
    <row r="102" customFormat="false" ht="15" hidden="false" customHeight="true" outlineLevel="0" collapsed="false">
      <c r="A102" s="18" t="s">
        <v>501</v>
      </c>
      <c r="B102" s="18" t="s">
        <v>154</v>
      </c>
      <c r="C102" s="21" t="str">
        <f aca="false">INDEX(Locations!$B$2:$B$9,MATCH($B102,Locations!$A$2:$A$9,0))</f>
        <v>Henry's Diner</v>
      </c>
      <c r="D102" s="21" t="str">
        <f aca="false">INDEX(Locations!$C$2:$C$9,MATCH($B102,Locations!$A$2:$A$9,0))</f>
        <v>Livingston</v>
      </c>
      <c r="E102" s="18" t="s">
        <v>305</v>
      </c>
      <c r="F102" s="21" t="str">
        <f aca="false">INDEX(Products!$B$2:$B$29,MATCH($E102,Products!$A$2:$A$29,0))</f>
        <v>Pedialyte</v>
      </c>
      <c r="G102" s="21" t="str">
        <f aca="false">INDEX(Products!$C$2:$C$29,MATCH($E102,Products!$A$2:$A$29,0))</f>
        <v>Hydration</v>
      </c>
      <c r="H102" s="18" t="s">
        <v>123</v>
      </c>
      <c r="I102" s="18" t="s">
        <v>392</v>
      </c>
      <c r="J102" s="18" t="str">
        <f aca="false">IF(H102="No","-",IF(I102="Available","Good supply",IF(I102="Low stock","Few left",IF(I102="Out of stock","None",IF(I102="Temporarily unavailable","Unavailable","Unknown")))))</f>
        <v>Good supply</v>
      </c>
      <c r="K102" s="18" t="s">
        <v>409</v>
      </c>
      <c r="L102" s="22"/>
      <c r="M102" s="18" t="str">
        <f aca="false">IF(L102="","",ROUND((Config!$B$2-L102)*1440,0))</f>
        <v/>
      </c>
      <c r="N102" s="18" t="str">
        <f aca="false">IF(K102="Staff verified",Config!$B$4,IF(OR(K102="Authorized student verified",K102="Multiple student reports",K102="Single student report"),Config!$B$3,""))</f>
        <v/>
      </c>
      <c r="O102" s="18" t="str">
        <f aca="false">IF(H102="No","n/a",IF(L102="","Unverified Data",IF(M102&gt;N102,"Stale report",K102)))</f>
        <v>Unverified Data</v>
      </c>
      <c r="P102" s="18" t="str">
        <f aca="false">IF(AND(H102="Yes",OR(I102="Available",I102="Low stock")),IF(O102="Stale report","Verify first","Yes"),"No")</f>
        <v>Yes</v>
      </c>
      <c r="Q102" s="18" t="str">
        <f aca="false">IF(H102="Yes","proposed_pending_approval","n/a")</f>
        <v>proposed_pending_approval</v>
      </c>
      <c r="R102" s="18" t="str">
        <f aca="false">IF(H102="Yes","Retail swipe (proposed) / RU Express / Cash or card","n/a")</f>
        <v>Retail swipe (proposed) / RU Express / Cash or card</v>
      </c>
      <c r="S102" s="21" t="str">
        <f aca="false">INDEX(Products!$I$2:$I$29,MATCH($E102,Products!$A$2:$A$29,0))</f>
        <v>2 bottles</v>
      </c>
      <c r="T102" s="18" t="n">
        <f aca="false">IF(H102="Yes",Config!$B$5,"")</f>
        <v>75</v>
      </c>
      <c r="U102" s="21" t="str">
        <f aca="false">INDEX(Products!$J$2:$J$29,MATCH($E102,Products!$A$2:$A$29,0))</f>
        <v>No</v>
      </c>
      <c r="V102" s="18" t="s">
        <v>394</v>
      </c>
    </row>
    <row r="103" customFormat="false" ht="15" hidden="false" customHeight="true" outlineLevel="0" collapsed="false">
      <c r="A103" s="18" t="s">
        <v>502</v>
      </c>
      <c r="B103" s="18" t="s">
        <v>154</v>
      </c>
      <c r="C103" s="21" t="str">
        <f aca="false">INDEX(Locations!$B$2:$B$9,MATCH($B103,Locations!$A$2:$A$9,0))</f>
        <v>Henry's Diner</v>
      </c>
      <c r="D103" s="21" t="str">
        <f aca="false">INDEX(Locations!$C$2:$C$9,MATCH($B103,Locations!$A$2:$A$9,0))</f>
        <v>Livingston</v>
      </c>
      <c r="E103" s="18" t="s">
        <v>312</v>
      </c>
      <c r="F103" s="21" t="str">
        <f aca="false">INDEX(Products!$B$2:$B$29,MATCH($E103,Products!$A$2:$A$29,0))</f>
        <v>Digital thermometer (brand varies)</v>
      </c>
      <c r="G103" s="21" t="str">
        <f aca="false">INDEX(Products!$C$2:$C$29,MATCH($E103,Products!$A$2:$A$29,0))</f>
        <v>Diagnostics</v>
      </c>
      <c r="H103" s="18" t="s">
        <v>123</v>
      </c>
      <c r="I103" s="18" t="s">
        <v>396</v>
      </c>
      <c r="J103" s="18" t="str">
        <f aca="false">IF(H103="No","-",IF(I103="Available","Good supply",IF(I103="Low stock","Few left",IF(I103="Out of stock","None",IF(I103="Temporarily unavailable","Unavailable","Unknown")))))</f>
        <v>None</v>
      </c>
      <c r="K103" s="18" t="s">
        <v>397</v>
      </c>
      <c r="L103" s="22" t="n">
        <v>46308.6131944444</v>
      </c>
      <c r="M103" s="18" t="n">
        <f aca="false">IF(L103="","",ROUND((Config!$B$2-L103)*1440,0))</f>
        <v>17</v>
      </c>
      <c r="N103" s="18" t="str">
        <f aca="false">IF(K103="Staff verified",Config!$B$4,IF(OR(K103="Authorized student verified",K103="Multiple student reports",K103="Single student report"),Config!$B$3,""))</f>
        <v/>
      </c>
      <c r="O103" s="18" t="str">
        <f aca="false">IF(H103="No","n/a",IF(L103="","Unverified Data",IF(M103&gt;N103,"Stale report",K103)))</f>
        <v>Verified student report</v>
      </c>
      <c r="P103" s="18" t="str">
        <f aca="false">IF(AND(H103="Yes",OR(I103="Available",I103="Low stock")),IF(O103="Stale report","Verify first","Yes"),"No")</f>
        <v>No</v>
      </c>
      <c r="Q103" s="18" t="str">
        <f aca="false">IF(H103="Yes","proposed_pending_approval","n/a")</f>
        <v>proposed_pending_approval</v>
      </c>
      <c r="R103" s="18" t="str">
        <f aca="false">IF(H103="Yes","Retail swipe (proposed) / RU Express / Cash or card","n/a")</f>
        <v>Retail swipe (proposed) / RU Express / Cash or card</v>
      </c>
      <c r="S103" s="21" t="str">
        <f aca="false">INDEX(Products!$I$2:$I$29,MATCH($E103,Products!$A$2:$A$29,0))</f>
        <v>1 unit</v>
      </c>
      <c r="T103" s="18" t="n">
        <f aca="false">IF(H103="Yes",Config!$B$5,"")</f>
        <v>75</v>
      </c>
      <c r="U103" s="21" t="str">
        <f aca="false">INDEX(Products!$J$2:$J$29,MATCH($E103,Products!$A$2:$A$29,0))</f>
        <v>No</v>
      </c>
      <c r="V103" s="18" t="s">
        <v>394</v>
      </c>
    </row>
    <row r="104" customFormat="false" ht="15" hidden="false" customHeight="true" outlineLevel="0" collapsed="false">
      <c r="A104" s="18" t="s">
        <v>503</v>
      </c>
      <c r="B104" s="18" t="s">
        <v>154</v>
      </c>
      <c r="C104" s="21" t="str">
        <f aca="false">INDEX(Locations!$B$2:$B$9,MATCH($B104,Locations!$A$2:$A$9,0))</f>
        <v>Henry's Diner</v>
      </c>
      <c r="D104" s="21" t="str">
        <f aca="false">INDEX(Locations!$C$2:$C$9,MATCH($B104,Locations!$A$2:$A$9,0))</f>
        <v>Livingston</v>
      </c>
      <c r="E104" s="18" t="s">
        <v>320</v>
      </c>
      <c r="F104" s="21" t="str">
        <f aca="false">INDEX(Products!$B$2:$B$29,MATCH($E104,Products!$A$2:$A$29,0))</f>
        <v>iHealth COVID-19 Antigen Rapid Test</v>
      </c>
      <c r="G104" s="21" t="str">
        <f aca="false">INDEX(Products!$C$2:$C$29,MATCH($E104,Products!$A$2:$A$29,0))</f>
        <v>Diagnostics</v>
      </c>
      <c r="H104" s="18" t="s">
        <v>212</v>
      </c>
      <c r="I104" s="18" t="s">
        <v>487</v>
      </c>
      <c r="J104" s="18" t="str">
        <f aca="false">IF(H104="No","-",IF(I104="Available","Good supply",IF(I104="Low stock","Few left",IF(I104="Out of stock","None",IF(I104="Temporarily unavailable","Unavailable","Unknown")))))</f>
        <v>-</v>
      </c>
      <c r="K104" s="18"/>
      <c r="L104" s="22"/>
      <c r="M104" s="18" t="str">
        <f aca="false">IF(L104="","",ROUND((Config!$B$2-L104)*1440,0))</f>
        <v/>
      </c>
      <c r="N104" s="18" t="str">
        <f aca="false">IF(K104="Staff verified",Config!$B$4,IF(OR(K104="Authorized student verified",K104="Multiple student reports",K104="Single student report"),Config!$B$3,""))</f>
        <v/>
      </c>
      <c r="O104" s="18" t="str">
        <f aca="false">IF(H104="No","n/a",IF(L104="","Unverified Data",IF(M104&gt;N104,"Stale report",K104)))</f>
        <v>n/a</v>
      </c>
      <c r="P104" s="18" t="str">
        <f aca="false">IF(AND(H104="Yes",OR(I104="Available",I104="Low stock")),IF(O104="Stale report","Verify first","Yes"),"No")</f>
        <v>No</v>
      </c>
      <c r="Q104" s="18" t="str">
        <f aca="false">IF(H104="Yes","proposed_pending_approval","n/a")</f>
        <v>n/a</v>
      </c>
      <c r="R104" s="18" t="str">
        <f aca="false">IF(H104="Yes","Retail swipe (proposed) / RU Express / Cash or card","n/a")</f>
        <v>n/a</v>
      </c>
      <c r="S104" s="21" t="str">
        <f aca="false">INDEX(Products!$I$2:$I$29,MATCH($E104,Products!$A$2:$A$29,0))</f>
        <v>1 kit</v>
      </c>
      <c r="T104" s="18" t="str">
        <f aca="false">IF(H104="Yes",Config!$B$5,"")</f>
        <v/>
      </c>
      <c r="U104" s="21" t="str">
        <f aca="false">INDEX(Products!$J$2:$J$29,MATCH($E104,Products!$A$2:$A$29,0))</f>
        <v>No</v>
      </c>
      <c r="V104" s="18" t="s">
        <v>394</v>
      </c>
    </row>
    <row r="105" customFormat="false" ht="15" hidden="false" customHeight="true" outlineLevel="0" collapsed="false">
      <c r="A105" s="18" t="s">
        <v>504</v>
      </c>
      <c r="B105" s="18" t="s">
        <v>154</v>
      </c>
      <c r="C105" s="21" t="str">
        <f aca="false">INDEX(Locations!$B$2:$B$9,MATCH($B105,Locations!$A$2:$A$9,0))</f>
        <v>Henry's Diner</v>
      </c>
      <c r="D105" s="21" t="str">
        <f aca="false">INDEX(Locations!$C$2:$C$9,MATCH($B105,Locations!$A$2:$A$9,0))</f>
        <v>Livingston</v>
      </c>
      <c r="E105" s="18" t="s">
        <v>327</v>
      </c>
      <c r="F105" s="21" t="str">
        <f aca="false">INDEX(Products!$B$2:$B$29,MATCH($E105,Products!$A$2:$A$29,0))</f>
        <v>Band-Aid Brand Adhesive Bandages</v>
      </c>
      <c r="G105" s="21" t="str">
        <f aca="false">INDEX(Products!$C$2:$C$29,MATCH($E105,Products!$A$2:$A$29,0))</f>
        <v>First aid &amp; comfort</v>
      </c>
      <c r="H105" s="18" t="s">
        <v>123</v>
      </c>
      <c r="I105" s="18" t="s">
        <v>392</v>
      </c>
      <c r="J105" s="18" t="str">
        <f aca="false">IF(H105="No","-",IF(I105="Available","Good supply",IF(I105="Low stock","Few left",IF(I105="Out of stock","None",IF(I105="Temporarily unavailable","Unavailable","Unknown")))))</f>
        <v>Good supply</v>
      </c>
      <c r="K105" s="18" t="s">
        <v>397</v>
      </c>
      <c r="L105" s="22" t="n">
        <v>46308.6215277778</v>
      </c>
      <c r="M105" s="18" t="n">
        <f aca="false">IF(L105="","",ROUND((Config!$B$2-L105)*1440,0))</f>
        <v>5</v>
      </c>
      <c r="N105" s="18" t="str">
        <f aca="false">IF(K105="Staff verified",Config!$B$4,IF(OR(K105="Authorized student verified",K105="Multiple student reports",K105="Single student report"),Config!$B$3,""))</f>
        <v/>
      </c>
      <c r="O105" s="18" t="str">
        <f aca="false">IF(H105="No","n/a",IF(L105="","Unverified Data",IF(M105&gt;N105,"Stale report",K105)))</f>
        <v>Verified student report</v>
      </c>
      <c r="P105" s="18" t="str">
        <f aca="false">IF(AND(H105="Yes",OR(I105="Available",I105="Low stock")),IF(O105="Stale report","Verify first","Yes"),"No")</f>
        <v>Yes</v>
      </c>
      <c r="Q105" s="18" t="str">
        <f aca="false">IF(H105="Yes","proposed_pending_approval","n/a")</f>
        <v>proposed_pending_approval</v>
      </c>
      <c r="R105" s="18" t="str">
        <f aca="false">IF(H105="Yes","Retail swipe (proposed) / RU Express / Cash or card","n/a")</f>
        <v>Retail swipe (proposed) / RU Express / Cash or card</v>
      </c>
      <c r="S105" s="21" t="str">
        <f aca="false">INDEX(Products!$I$2:$I$29,MATCH($E105,Products!$A$2:$A$29,0))</f>
        <v>1 box</v>
      </c>
      <c r="T105" s="18" t="n">
        <f aca="false">IF(H105="Yes",Config!$B$5,"")</f>
        <v>75</v>
      </c>
      <c r="U105" s="21" t="str">
        <f aca="false">INDEX(Products!$J$2:$J$29,MATCH($E105,Products!$A$2:$A$29,0))</f>
        <v>No</v>
      </c>
      <c r="V105" s="18" t="s">
        <v>394</v>
      </c>
    </row>
    <row r="106" customFormat="false" ht="15" hidden="false" customHeight="true" outlineLevel="0" collapsed="false">
      <c r="A106" s="18" t="s">
        <v>505</v>
      </c>
      <c r="B106" s="18" t="s">
        <v>154</v>
      </c>
      <c r="C106" s="21" t="str">
        <f aca="false">INDEX(Locations!$B$2:$B$9,MATCH($B106,Locations!$A$2:$A$9,0))</f>
        <v>Henry's Diner</v>
      </c>
      <c r="D106" s="21" t="str">
        <f aca="false">INDEX(Locations!$C$2:$C$9,MATCH($B106,Locations!$A$2:$A$9,0))</f>
        <v>Livingston</v>
      </c>
      <c r="E106" s="18" t="s">
        <v>333</v>
      </c>
      <c r="F106" s="21" t="str">
        <f aca="false">INDEX(Products!$B$2:$B$29,MATCH($E106,Products!$A$2:$A$29,0))</f>
        <v>Johnson &amp; Johnson First Aid To Go Kit</v>
      </c>
      <c r="G106" s="21" t="str">
        <f aca="false">INDEX(Products!$C$2:$C$29,MATCH($E106,Products!$A$2:$A$29,0))</f>
        <v>First aid &amp; comfort</v>
      </c>
      <c r="H106" s="18" t="s">
        <v>212</v>
      </c>
      <c r="I106" s="18" t="s">
        <v>487</v>
      </c>
      <c r="J106" s="18" t="str">
        <f aca="false">IF(H106="No","-",IF(I106="Available","Good supply",IF(I106="Low stock","Few left",IF(I106="Out of stock","None",IF(I106="Temporarily unavailable","Unavailable","Unknown")))))</f>
        <v>-</v>
      </c>
      <c r="K106" s="18"/>
      <c r="L106" s="22"/>
      <c r="M106" s="18" t="str">
        <f aca="false">IF(L106="","",ROUND((Config!$B$2-L106)*1440,0))</f>
        <v/>
      </c>
      <c r="N106" s="18" t="str">
        <f aca="false">IF(K106="Staff verified",Config!$B$4,IF(OR(K106="Authorized student verified",K106="Multiple student reports",K106="Single student report"),Config!$B$3,""))</f>
        <v/>
      </c>
      <c r="O106" s="18" t="str">
        <f aca="false">IF(H106="No","n/a",IF(L106="","Unverified Data",IF(M106&gt;N106,"Stale report",K106)))</f>
        <v>n/a</v>
      </c>
      <c r="P106" s="18" t="str">
        <f aca="false">IF(AND(H106="Yes",OR(I106="Available",I106="Low stock")),IF(O106="Stale report","Verify first","Yes"),"No")</f>
        <v>No</v>
      </c>
      <c r="Q106" s="18" t="str">
        <f aca="false">IF(H106="Yes","proposed_pending_approval","n/a")</f>
        <v>n/a</v>
      </c>
      <c r="R106" s="18" t="str">
        <f aca="false">IF(H106="Yes","Retail swipe (proposed) / RU Express / Cash or card","n/a")</f>
        <v>n/a</v>
      </c>
      <c r="S106" s="21" t="str">
        <f aca="false">INDEX(Products!$I$2:$I$29,MATCH($E106,Products!$A$2:$A$29,0))</f>
        <v>1 kit</v>
      </c>
      <c r="T106" s="18" t="str">
        <f aca="false">IF(H106="Yes",Config!$B$5,"")</f>
        <v/>
      </c>
      <c r="U106" s="21" t="str">
        <f aca="false">INDEX(Products!$J$2:$J$29,MATCH($E106,Products!$A$2:$A$29,0))</f>
        <v>No</v>
      </c>
      <c r="V106" s="18" t="s">
        <v>394</v>
      </c>
    </row>
    <row r="107" customFormat="false" ht="15" hidden="false" customHeight="true" outlineLevel="0" collapsed="false">
      <c r="A107" s="18" t="s">
        <v>506</v>
      </c>
      <c r="B107" s="18" t="s">
        <v>154</v>
      </c>
      <c r="C107" s="21" t="str">
        <f aca="false">INDEX(Locations!$B$2:$B$9,MATCH($B107,Locations!$A$2:$A$9,0))</f>
        <v>Henry's Diner</v>
      </c>
      <c r="D107" s="21" t="str">
        <f aca="false">INDEX(Locations!$C$2:$C$9,MATCH($B107,Locations!$A$2:$A$9,0))</f>
        <v>Livingston</v>
      </c>
      <c r="E107" s="18" t="s">
        <v>338</v>
      </c>
      <c r="F107" s="21" t="str">
        <f aca="false">INDEX(Products!$B$2:$B$29,MATCH($E107,Products!$A$2:$A$29,0))</f>
        <v>Neosporin Original Ointment</v>
      </c>
      <c r="G107" s="21" t="str">
        <f aca="false">INDEX(Products!$C$2:$C$29,MATCH($E107,Products!$A$2:$A$29,0))</f>
        <v>First aid &amp; comfort</v>
      </c>
      <c r="H107" s="18" t="s">
        <v>212</v>
      </c>
      <c r="I107" s="18" t="s">
        <v>487</v>
      </c>
      <c r="J107" s="18" t="str">
        <f aca="false">IF(H107="No","-",IF(I107="Available","Good supply",IF(I107="Low stock","Few left",IF(I107="Out of stock","None",IF(I107="Temporarily unavailable","Unavailable","Unknown")))))</f>
        <v>-</v>
      </c>
      <c r="K107" s="18"/>
      <c r="L107" s="22"/>
      <c r="M107" s="18" t="str">
        <f aca="false">IF(L107="","",ROUND((Config!$B$2-L107)*1440,0))</f>
        <v/>
      </c>
      <c r="N107" s="18" t="str">
        <f aca="false">IF(K107="Staff verified",Config!$B$4,IF(OR(K107="Authorized student verified",K107="Multiple student reports",K107="Single student report"),Config!$B$3,""))</f>
        <v/>
      </c>
      <c r="O107" s="18" t="str">
        <f aca="false">IF(H107="No","n/a",IF(L107="","Unverified Data",IF(M107&gt;N107,"Stale report",K107)))</f>
        <v>n/a</v>
      </c>
      <c r="P107" s="18" t="str">
        <f aca="false">IF(AND(H107="Yes",OR(I107="Available",I107="Low stock")),IF(O107="Stale report","Verify first","Yes"),"No")</f>
        <v>No</v>
      </c>
      <c r="Q107" s="18" t="str">
        <f aca="false">IF(H107="Yes","proposed_pending_approval","n/a")</f>
        <v>n/a</v>
      </c>
      <c r="R107" s="18" t="str">
        <f aca="false">IF(H107="Yes","Retail swipe (proposed) / RU Express / Cash or card","n/a")</f>
        <v>n/a</v>
      </c>
      <c r="S107" s="21" t="str">
        <f aca="false">INDEX(Products!$I$2:$I$29,MATCH($E107,Products!$A$2:$A$29,0))</f>
        <v>1 tube</v>
      </c>
      <c r="T107" s="18" t="str">
        <f aca="false">IF(H107="Yes",Config!$B$5,"")</f>
        <v/>
      </c>
      <c r="U107" s="21" t="str">
        <f aca="false">INDEX(Products!$J$2:$J$29,MATCH($E107,Products!$A$2:$A$29,0))</f>
        <v>No</v>
      </c>
      <c r="V107" s="18" t="s">
        <v>394</v>
      </c>
    </row>
    <row r="108" customFormat="false" ht="15" hidden="false" customHeight="true" outlineLevel="0" collapsed="false">
      <c r="A108" s="18" t="s">
        <v>507</v>
      </c>
      <c r="B108" s="18" t="s">
        <v>154</v>
      </c>
      <c r="C108" s="21" t="str">
        <f aca="false">INDEX(Locations!$B$2:$B$9,MATCH($B108,Locations!$A$2:$A$9,0))</f>
        <v>Henry's Diner</v>
      </c>
      <c r="D108" s="21" t="str">
        <f aca="false">INDEX(Locations!$C$2:$C$9,MATCH($B108,Locations!$A$2:$A$9,0))</f>
        <v>Livingston</v>
      </c>
      <c r="E108" s="18" t="s">
        <v>345</v>
      </c>
      <c r="F108" s="21" t="str">
        <f aca="false">INDEX(Products!$B$2:$B$29,MATCH($E108,Products!$A$2:$A$29,0))</f>
        <v>Instant cold pack (brand varies)</v>
      </c>
      <c r="G108" s="21" t="str">
        <f aca="false">INDEX(Products!$C$2:$C$29,MATCH($E108,Products!$A$2:$A$29,0))</f>
        <v>First aid &amp; comfort</v>
      </c>
      <c r="H108" s="18" t="s">
        <v>212</v>
      </c>
      <c r="I108" s="18" t="s">
        <v>487</v>
      </c>
      <c r="J108" s="18" t="str">
        <f aca="false">IF(H108="No","-",IF(I108="Available","Good supply",IF(I108="Low stock","Few left",IF(I108="Out of stock","None",IF(I108="Temporarily unavailable","Unavailable","Unknown")))))</f>
        <v>-</v>
      </c>
      <c r="K108" s="18"/>
      <c r="L108" s="22"/>
      <c r="M108" s="18" t="str">
        <f aca="false">IF(L108="","",ROUND((Config!$B$2-L108)*1440,0))</f>
        <v/>
      </c>
      <c r="N108" s="18" t="str">
        <f aca="false">IF(K108="Staff verified",Config!$B$4,IF(OR(K108="Authorized student verified",K108="Multiple student reports",K108="Single student report"),Config!$B$3,""))</f>
        <v/>
      </c>
      <c r="O108" s="18" t="str">
        <f aca="false">IF(H108="No","n/a",IF(L108="","Unverified Data",IF(M108&gt;N108,"Stale report",K108)))</f>
        <v>n/a</v>
      </c>
      <c r="P108" s="18" t="str">
        <f aca="false">IF(AND(H108="Yes",OR(I108="Available",I108="Low stock")),IF(O108="Stale report","Verify first","Yes"),"No")</f>
        <v>No</v>
      </c>
      <c r="Q108" s="18" t="str">
        <f aca="false">IF(H108="Yes","proposed_pending_approval","n/a")</f>
        <v>n/a</v>
      </c>
      <c r="R108" s="18" t="str">
        <f aca="false">IF(H108="Yes","Retail swipe (proposed) / RU Express / Cash or card","n/a")</f>
        <v>n/a</v>
      </c>
      <c r="S108" s="21" t="str">
        <f aca="false">INDEX(Products!$I$2:$I$29,MATCH($E108,Products!$A$2:$A$29,0))</f>
        <v>1 pack</v>
      </c>
      <c r="T108" s="18" t="str">
        <f aca="false">IF(H108="Yes",Config!$B$5,"")</f>
        <v/>
      </c>
      <c r="U108" s="21" t="str">
        <f aca="false">INDEX(Products!$J$2:$J$29,MATCH($E108,Products!$A$2:$A$29,0))</f>
        <v>No</v>
      </c>
      <c r="V108" s="18" t="s">
        <v>394</v>
      </c>
    </row>
    <row r="109" customFormat="false" ht="15" hidden="false" customHeight="true" outlineLevel="0" collapsed="false">
      <c r="A109" s="18" t="s">
        <v>508</v>
      </c>
      <c r="B109" s="18" t="s">
        <v>154</v>
      </c>
      <c r="C109" s="21" t="str">
        <f aca="false">INDEX(Locations!$B$2:$B$9,MATCH($B109,Locations!$A$2:$A$9,0))</f>
        <v>Henry's Diner</v>
      </c>
      <c r="D109" s="21" t="str">
        <f aca="false">INDEX(Locations!$C$2:$C$9,MATCH($B109,Locations!$A$2:$A$9,0))</f>
        <v>Livingston</v>
      </c>
      <c r="E109" s="18" t="s">
        <v>351</v>
      </c>
      <c r="F109" s="21" t="str">
        <f aca="false">INDEX(Products!$B$2:$B$29,MATCH($E109,Products!$A$2:$A$29,0))</f>
        <v>ThermaCare Heat Wrap</v>
      </c>
      <c r="G109" s="21" t="str">
        <f aca="false">INDEX(Products!$C$2:$C$29,MATCH($E109,Products!$A$2:$A$29,0))</f>
        <v>First aid &amp; comfort</v>
      </c>
      <c r="H109" s="18" t="s">
        <v>212</v>
      </c>
      <c r="I109" s="18" t="s">
        <v>487</v>
      </c>
      <c r="J109" s="18" t="str">
        <f aca="false">IF(H109="No","-",IF(I109="Available","Good supply",IF(I109="Low stock","Few left",IF(I109="Out of stock","None",IF(I109="Temporarily unavailable","Unavailable","Unknown")))))</f>
        <v>-</v>
      </c>
      <c r="K109" s="18"/>
      <c r="L109" s="22"/>
      <c r="M109" s="18" t="str">
        <f aca="false">IF(L109="","",ROUND((Config!$B$2-L109)*1440,0))</f>
        <v/>
      </c>
      <c r="N109" s="18" t="str">
        <f aca="false">IF(K109="Staff verified",Config!$B$4,IF(OR(K109="Authorized student verified",K109="Multiple student reports",K109="Single student report"),Config!$B$3,""))</f>
        <v/>
      </c>
      <c r="O109" s="18" t="str">
        <f aca="false">IF(H109="No","n/a",IF(L109="","Unverified Data",IF(M109&gt;N109,"Stale report",K109)))</f>
        <v>n/a</v>
      </c>
      <c r="P109" s="18" t="str">
        <f aca="false">IF(AND(H109="Yes",OR(I109="Available",I109="Low stock")),IF(O109="Stale report","Verify first","Yes"),"No")</f>
        <v>No</v>
      </c>
      <c r="Q109" s="18" t="str">
        <f aca="false">IF(H109="Yes","proposed_pending_approval","n/a")</f>
        <v>n/a</v>
      </c>
      <c r="R109" s="18" t="str">
        <f aca="false">IF(H109="Yes","Retail swipe (proposed) / RU Express / Cash or card","n/a")</f>
        <v>n/a</v>
      </c>
      <c r="S109" s="21" t="str">
        <f aca="false">INDEX(Products!$I$2:$I$29,MATCH($E109,Products!$A$2:$A$29,0))</f>
        <v>1 package</v>
      </c>
      <c r="T109" s="18" t="str">
        <f aca="false">IF(H109="Yes",Config!$B$5,"")</f>
        <v/>
      </c>
      <c r="U109" s="21" t="str">
        <f aca="false">INDEX(Products!$J$2:$J$29,MATCH($E109,Products!$A$2:$A$29,0))</f>
        <v>No</v>
      </c>
      <c r="V109" s="18" t="s">
        <v>394</v>
      </c>
    </row>
    <row r="110" customFormat="false" ht="15" hidden="false" customHeight="true" outlineLevel="0" collapsed="false">
      <c r="A110" s="18" t="s">
        <v>509</v>
      </c>
      <c r="B110" s="18" t="s">
        <v>154</v>
      </c>
      <c r="C110" s="21" t="str">
        <f aca="false">INDEX(Locations!$B$2:$B$9,MATCH($B110,Locations!$A$2:$A$9,0))</f>
        <v>Henry's Diner</v>
      </c>
      <c r="D110" s="21" t="str">
        <f aca="false">INDEX(Locations!$C$2:$C$9,MATCH($B110,Locations!$A$2:$A$9,0))</f>
        <v>Livingston</v>
      </c>
      <c r="E110" s="18" t="s">
        <v>356</v>
      </c>
      <c r="F110" s="21" t="str">
        <f aca="false">INDEX(Products!$B$2:$B$29,MATCH($E110,Products!$A$2:$A$29,0))</f>
        <v>Always Ultra Thin Pads</v>
      </c>
      <c r="G110" s="21" t="str">
        <f aca="false">INDEX(Products!$C$2:$C$29,MATCH($E110,Products!$A$2:$A$29,0))</f>
        <v>Menstrual &amp; hygiene</v>
      </c>
      <c r="H110" s="18" t="s">
        <v>123</v>
      </c>
      <c r="I110" s="18" t="s">
        <v>404</v>
      </c>
      <c r="J110" s="18" t="str">
        <f aca="false">IF(H110="No","-",IF(I110="Available","Good supply",IF(I110="Low stock","Few left",IF(I110="Out of stock","None",IF(I110="Temporarily unavailable","Unavailable","Unknown")))))</f>
        <v>Few left</v>
      </c>
      <c r="K110" s="18" t="s">
        <v>409</v>
      </c>
      <c r="L110" s="22"/>
      <c r="M110" s="18" t="str">
        <f aca="false">IF(L110="","",ROUND((Config!$B$2-L110)*1440,0))</f>
        <v/>
      </c>
      <c r="N110" s="18" t="str">
        <f aca="false">IF(K110="Staff verified",Config!$B$4,IF(OR(K110="Authorized student verified",K110="Multiple student reports",K110="Single student report"),Config!$B$3,""))</f>
        <v/>
      </c>
      <c r="O110" s="18" t="str">
        <f aca="false">IF(H110="No","n/a",IF(L110="","Unverified Data",IF(M110&gt;N110,"Stale report",K110)))</f>
        <v>Unverified Data</v>
      </c>
      <c r="P110" s="18" t="str">
        <f aca="false">IF(AND(H110="Yes",OR(I110="Available",I110="Low stock")),IF(O110="Stale report","Verify first","Yes"),"No")</f>
        <v>Yes</v>
      </c>
      <c r="Q110" s="18" t="str">
        <f aca="false">IF(H110="Yes","proposed_pending_approval","n/a")</f>
        <v>proposed_pending_approval</v>
      </c>
      <c r="R110" s="18" t="str">
        <f aca="false">IF(H110="Yes","Retail swipe (proposed) / RU Express / Cash or card","n/a")</f>
        <v>Retail swipe (proposed) / RU Express / Cash or card</v>
      </c>
      <c r="S110" s="21" t="str">
        <f aca="false">INDEX(Products!$I$2:$I$29,MATCH($E110,Products!$A$2:$A$29,0))</f>
        <v>1 package</v>
      </c>
      <c r="T110" s="18" t="n">
        <f aca="false">IF(H110="Yes",Config!$B$5,"")</f>
        <v>75</v>
      </c>
      <c r="U110" s="21" t="str">
        <f aca="false">INDEX(Products!$J$2:$J$29,MATCH($E110,Products!$A$2:$A$29,0))</f>
        <v>No</v>
      </c>
      <c r="V110" s="18" t="s">
        <v>394</v>
      </c>
    </row>
    <row r="111" customFormat="false" ht="15" hidden="false" customHeight="true" outlineLevel="0" collapsed="false">
      <c r="A111" s="18" t="s">
        <v>510</v>
      </c>
      <c r="B111" s="18" t="s">
        <v>154</v>
      </c>
      <c r="C111" s="21" t="str">
        <f aca="false">INDEX(Locations!$B$2:$B$9,MATCH($B111,Locations!$A$2:$A$9,0))</f>
        <v>Henry's Diner</v>
      </c>
      <c r="D111" s="21" t="str">
        <f aca="false">INDEX(Locations!$C$2:$C$9,MATCH($B111,Locations!$A$2:$A$9,0))</f>
        <v>Livingston</v>
      </c>
      <c r="E111" s="18" t="s">
        <v>363</v>
      </c>
      <c r="F111" s="21" t="str">
        <f aca="false">INDEX(Products!$B$2:$B$29,MATCH($E111,Products!$A$2:$A$29,0))</f>
        <v>Tampax Pearl Tampons</v>
      </c>
      <c r="G111" s="21" t="str">
        <f aca="false">INDEX(Products!$C$2:$C$29,MATCH($E111,Products!$A$2:$A$29,0))</f>
        <v>Menstrual &amp; hygiene</v>
      </c>
      <c r="H111" s="18" t="s">
        <v>123</v>
      </c>
      <c r="I111" s="18" t="s">
        <v>392</v>
      </c>
      <c r="J111" s="18" t="str">
        <f aca="false">IF(H111="No","-",IF(I111="Available","Good supply",IF(I111="Low stock","Few left",IF(I111="Out of stock","None",IF(I111="Temporarily unavailable","Unavailable","Unknown")))))</f>
        <v>Good supply</v>
      </c>
      <c r="K111" s="18" t="s">
        <v>409</v>
      </c>
      <c r="L111" s="22"/>
      <c r="M111" s="18" t="str">
        <f aca="false">IF(L111="","",ROUND((Config!$B$2-L111)*1440,0))</f>
        <v/>
      </c>
      <c r="N111" s="18" t="str">
        <f aca="false">IF(K111="Staff verified",Config!$B$4,IF(OR(K111="Authorized student verified",K111="Multiple student reports",K111="Single student report"),Config!$B$3,""))</f>
        <v/>
      </c>
      <c r="O111" s="18" t="str">
        <f aca="false">IF(H111="No","n/a",IF(L111="","Unverified Data",IF(M111&gt;N111,"Stale report",K111)))</f>
        <v>Unverified Data</v>
      </c>
      <c r="P111" s="18" t="str">
        <f aca="false">IF(AND(H111="Yes",OR(I111="Available",I111="Low stock")),IF(O111="Stale report","Verify first","Yes"),"No")</f>
        <v>Yes</v>
      </c>
      <c r="Q111" s="18" t="str">
        <f aca="false">IF(H111="Yes","proposed_pending_approval","n/a")</f>
        <v>proposed_pending_approval</v>
      </c>
      <c r="R111" s="18" t="str">
        <f aca="false">IF(H111="Yes","Retail swipe (proposed) / RU Express / Cash or card","n/a")</f>
        <v>Retail swipe (proposed) / RU Express / Cash or card</v>
      </c>
      <c r="S111" s="21" t="str">
        <f aca="false">INDEX(Products!$I$2:$I$29,MATCH($E111,Products!$A$2:$A$29,0))</f>
        <v>1 package</v>
      </c>
      <c r="T111" s="18" t="n">
        <f aca="false">IF(H111="Yes",Config!$B$5,"")</f>
        <v>75</v>
      </c>
      <c r="U111" s="21" t="str">
        <f aca="false">INDEX(Products!$J$2:$J$29,MATCH($E111,Products!$A$2:$A$29,0))</f>
        <v>No</v>
      </c>
      <c r="V111" s="18" t="s">
        <v>394</v>
      </c>
    </row>
    <row r="112" customFormat="false" ht="15" hidden="false" customHeight="true" outlineLevel="0" collapsed="false">
      <c r="A112" s="18" t="s">
        <v>511</v>
      </c>
      <c r="B112" s="18" t="s">
        <v>154</v>
      </c>
      <c r="C112" s="21" t="str">
        <f aca="false">INDEX(Locations!$B$2:$B$9,MATCH($B112,Locations!$A$2:$A$9,0))</f>
        <v>Henry's Diner</v>
      </c>
      <c r="D112" s="21" t="str">
        <f aca="false">INDEX(Locations!$C$2:$C$9,MATCH($B112,Locations!$A$2:$A$9,0))</f>
        <v>Livingston</v>
      </c>
      <c r="E112" s="18" t="s">
        <v>368</v>
      </c>
      <c r="F112" s="21" t="str">
        <f aca="false">INDEX(Products!$B$2:$B$29,MATCH($E112,Products!$A$2:$A$29,0))</f>
        <v>Purell Advanced Hand Sanitizer</v>
      </c>
      <c r="G112" s="21" t="str">
        <f aca="false">INDEX(Products!$C$2:$C$29,MATCH($E112,Products!$A$2:$A$29,0))</f>
        <v>Menstrual &amp; hygiene</v>
      </c>
      <c r="H112" s="18" t="s">
        <v>212</v>
      </c>
      <c r="I112" s="18" t="s">
        <v>487</v>
      </c>
      <c r="J112" s="18" t="str">
        <f aca="false">IF(H112="No","-",IF(I112="Available","Good supply",IF(I112="Low stock","Few left",IF(I112="Out of stock","None",IF(I112="Temporarily unavailable","Unavailable","Unknown")))))</f>
        <v>-</v>
      </c>
      <c r="K112" s="18"/>
      <c r="L112" s="22"/>
      <c r="M112" s="18" t="str">
        <f aca="false">IF(L112="","",ROUND((Config!$B$2-L112)*1440,0))</f>
        <v/>
      </c>
      <c r="N112" s="18" t="str">
        <f aca="false">IF(K112="Staff verified",Config!$B$4,IF(OR(K112="Authorized student verified",K112="Multiple student reports",K112="Single student report"),Config!$B$3,""))</f>
        <v/>
      </c>
      <c r="O112" s="18" t="str">
        <f aca="false">IF(H112="No","n/a",IF(L112="","Unverified Data",IF(M112&gt;N112,"Stale report",K112)))</f>
        <v>n/a</v>
      </c>
      <c r="P112" s="18" t="str">
        <f aca="false">IF(AND(H112="Yes",OR(I112="Available",I112="Low stock")),IF(O112="Stale report","Verify first","Yes"),"No")</f>
        <v>No</v>
      </c>
      <c r="Q112" s="18" t="str">
        <f aca="false">IF(H112="Yes","proposed_pending_approval","n/a")</f>
        <v>n/a</v>
      </c>
      <c r="R112" s="18" t="str">
        <f aca="false">IF(H112="Yes","Retail swipe (proposed) / RU Express / Cash or card","n/a")</f>
        <v>n/a</v>
      </c>
      <c r="S112" s="21" t="str">
        <f aca="false">INDEX(Products!$I$2:$I$29,MATCH($E112,Products!$A$2:$A$29,0))</f>
        <v>1 bottle</v>
      </c>
      <c r="T112" s="18" t="str">
        <f aca="false">IF(H112="Yes",Config!$B$5,"")</f>
        <v/>
      </c>
      <c r="U112" s="21" t="str">
        <f aca="false">INDEX(Products!$J$2:$J$29,MATCH($E112,Products!$A$2:$A$29,0))</f>
        <v>No</v>
      </c>
      <c r="V112" s="18" t="s">
        <v>394</v>
      </c>
    </row>
    <row r="113" customFormat="false" ht="15" hidden="false" customHeight="true" outlineLevel="0" collapsed="false">
      <c r="A113" s="18" t="s">
        <v>512</v>
      </c>
      <c r="B113" s="18" t="s">
        <v>154</v>
      </c>
      <c r="C113" s="21" t="str">
        <f aca="false">INDEX(Locations!$B$2:$B$9,MATCH($B113,Locations!$A$2:$A$9,0))</f>
        <v>Henry's Diner</v>
      </c>
      <c r="D113" s="21" t="str">
        <f aca="false">INDEX(Locations!$C$2:$C$9,MATCH($B113,Locations!$A$2:$A$9,0))</f>
        <v>Livingston</v>
      </c>
      <c r="E113" s="18" t="s">
        <v>374</v>
      </c>
      <c r="F113" s="21" t="str">
        <f aca="false">INDEX(Products!$B$2:$B$29,MATCH($E113,Products!$A$2:$A$29,0))</f>
        <v>Disposable face masks (brand varies)</v>
      </c>
      <c r="G113" s="21" t="str">
        <f aca="false">INDEX(Products!$C$2:$C$29,MATCH($E113,Products!$A$2:$A$29,0))</f>
        <v>Menstrual &amp; hygiene</v>
      </c>
      <c r="H113" s="18" t="s">
        <v>212</v>
      </c>
      <c r="I113" s="18" t="s">
        <v>487</v>
      </c>
      <c r="J113" s="18" t="str">
        <f aca="false">IF(H113="No","-",IF(I113="Available","Good supply",IF(I113="Low stock","Few left",IF(I113="Out of stock","None",IF(I113="Temporarily unavailable","Unavailable","Unknown")))))</f>
        <v>-</v>
      </c>
      <c r="K113" s="18"/>
      <c r="L113" s="22"/>
      <c r="M113" s="18" t="str">
        <f aca="false">IF(L113="","",ROUND((Config!$B$2-L113)*1440,0))</f>
        <v/>
      </c>
      <c r="N113" s="18" t="str">
        <f aca="false">IF(K113="Staff verified",Config!$B$4,IF(OR(K113="Authorized student verified",K113="Multiple student reports",K113="Single student report"),Config!$B$3,""))</f>
        <v/>
      </c>
      <c r="O113" s="18" t="str">
        <f aca="false">IF(H113="No","n/a",IF(L113="","Unverified Data",IF(M113&gt;N113,"Stale report",K113)))</f>
        <v>n/a</v>
      </c>
      <c r="P113" s="18" t="str">
        <f aca="false">IF(AND(H113="Yes",OR(I113="Available",I113="Low stock")),IF(O113="Stale report","Verify first","Yes"),"No")</f>
        <v>No</v>
      </c>
      <c r="Q113" s="18" t="str">
        <f aca="false">IF(H113="Yes","proposed_pending_approval","n/a")</f>
        <v>n/a</v>
      </c>
      <c r="R113" s="18" t="str">
        <f aca="false">IF(H113="Yes","Retail swipe (proposed) / RU Express / Cash or card","n/a")</f>
        <v>n/a</v>
      </c>
      <c r="S113" s="21" t="str">
        <f aca="false">INDEX(Products!$I$2:$I$29,MATCH($E113,Products!$A$2:$A$29,0))</f>
        <v>1 pack</v>
      </c>
      <c r="T113" s="18" t="str">
        <f aca="false">IF(H113="Yes",Config!$B$5,"")</f>
        <v/>
      </c>
      <c r="U113" s="21" t="str">
        <f aca="false">INDEX(Products!$J$2:$J$29,MATCH($E113,Products!$A$2:$A$29,0))</f>
        <v>No</v>
      </c>
      <c r="V113" s="18" t="s">
        <v>394</v>
      </c>
    </row>
    <row r="114" customFormat="false" ht="15" hidden="false" customHeight="true" outlineLevel="0" collapsed="false">
      <c r="A114" s="18" t="s">
        <v>513</v>
      </c>
      <c r="B114" s="18" t="s">
        <v>165</v>
      </c>
      <c r="C114" s="21" t="str">
        <f aca="false">INDEX(Locations!$B$2:$B$9,MATCH($B114,Locations!$A$2:$A$9,0))</f>
        <v>Harvest Juice Bar</v>
      </c>
      <c r="D114" s="21" t="str">
        <f aca="false">INDEX(Locations!$C$2:$C$9,MATCH($B114,Locations!$A$2:$A$9,0))</f>
        <v>Busch</v>
      </c>
      <c r="E114" s="18" t="s">
        <v>204</v>
      </c>
      <c r="F114" s="21" t="str">
        <f aca="false">INDEX(Products!$B$2:$B$29,MATCH($E114,Products!$A$2:$A$29,0))</f>
        <v>Tylenol Extra Strength</v>
      </c>
      <c r="G114" s="21" t="str">
        <f aca="false">INDEX(Products!$C$2:$C$29,MATCH($E114,Products!$A$2:$A$29,0))</f>
        <v>Pain &amp; fever</v>
      </c>
      <c r="H114" s="18" t="s">
        <v>123</v>
      </c>
      <c r="I114" s="18" t="s">
        <v>392</v>
      </c>
      <c r="J114" s="18" t="str">
        <f aca="false">IF(H114="No","-",IF(I114="Available","Good supply",IF(I114="Low stock","Few left",IF(I114="Out of stock","None",IF(I114="Temporarily unavailable","Unavailable","Unknown")))))</f>
        <v>Good supply</v>
      </c>
      <c r="K114" s="18" t="s">
        <v>397</v>
      </c>
      <c r="L114" s="22" t="n">
        <v>46308.6006944445</v>
      </c>
      <c r="M114" s="18" t="n">
        <f aca="false">IF(L114="","",ROUND((Config!$B$2-L114)*1440,0))</f>
        <v>35</v>
      </c>
      <c r="N114" s="18" t="str">
        <f aca="false">IF(K114="Staff verified",Config!$B$4,IF(OR(K114="Authorized student verified",K114="Multiple student reports",K114="Single student report"),Config!$B$3,""))</f>
        <v/>
      </c>
      <c r="O114" s="18" t="str">
        <f aca="false">IF(H114="No","n/a",IF(L114="","Unverified Data",IF(M114&gt;N114,"Stale report",K114)))</f>
        <v>Verified student report</v>
      </c>
      <c r="P114" s="18" t="str">
        <f aca="false">IF(AND(H114="Yes",OR(I114="Available",I114="Low stock")),IF(O114="Stale report","Verify first","Yes"),"No")</f>
        <v>Yes</v>
      </c>
      <c r="Q114" s="18" t="str">
        <f aca="false">IF(H114="Yes","proposed_pending_approval","n/a")</f>
        <v>proposed_pending_approval</v>
      </c>
      <c r="R114" s="18" t="str">
        <f aca="false">IF(H114="Yes","Retail swipe (proposed) / RU Express / Cash or card","n/a")</f>
        <v>Retail swipe (proposed) / RU Express / Cash or card</v>
      </c>
      <c r="S114" s="21" t="str">
        <f aca="false">INDEX(Products!$I$2:$I$29,MATCH($E114,Products!$A$2:$A$29,0))</f>
        <v>1 package</v>
      </c>
      <c r="T114" s="18" t="n">
        <f aca="false">IF(H114="Yes",Config!$B$5,"")</f>
        <v>75</v>
      </c>
      <c r="U114" s="21" t="str">
        <f aca="false">INDEX(Products!$J$2:$J$29,MATCH($E114,Products!$A$2:$A$29,0))</f>
        <v>No</v>
      </c>
      <c r="V114" s="18" t="s">
        <v>394</v>
      </c>
    </row>
    <row r="115" customFormat="false" ht="15" hidden="false" customHeight="true" outlineLevel="0" collapsed="false">
      <c r="A115" s="18" t="s">
        <v>514</v>
      </c>
      <c r="B115" s="18" t="s">
        <v>165</v>
      </c>
      <c r="C115" s="21" t="str">
        <f aca="false">INDEX(Locations!$B$2:$B$9,MATCH($B115,Locations!$A$2:$A$9,0))</f>
        <v>Harvest Juice Bar</v>
      </c>
      <c r="D115" s="21" t="str">
        <f aca="false">INDEX(Locations!$C$2:$C$9,MATCH($B115,Locations!$A$2:$A$9,0))</f>
        <v>Busch</v>
      </c>
      <c r="E115" s="18" t="s">
        <v>215</v>
      </c>
      <c r="F115" s="21" t="str">
        <f aca="false">INDEX(Products!$B$2:$B$29,MATCH($E115,Products!$A$2:$A$29,0))</f>
        <v>Advil</v>
      </c>
      <c r="G115" s="21" t="str">
        <f aca="false">INDEX(Products!$C$2:$C$29,MATCH($E115,Products!$A$2:$A$29,0))</f>
        <v>Pain &amp; fever</v>
      </c>
      <c r="H115" s="18" t="s">
        <v>123</v>
      </c>
      <c r="I115" s="18" t="s">
        <v>392</v>
      </c>
      <c r="J115" s="18" t="str">
        <f aca="false">IF(H115="No","-",IF(I115="Available","Good supply",IF(I115="Low stock","Few left",IF(I115="Out of stock","None",IF(I115="Temporarily unavailable","Unavailable","Unknown")))))</f>
        <v>Good supply</v>
      </c>
      <c r="K115" s="18" t="s">
        <v>409</v>
      </c>
      <c r="L115" s="22"/>
      <c r="M115" s="18" t="str">
        <f aca="false">IF(L115="","",ROUND((Config!$B$2-L115)*1440,0))</f>
        <v/>
      </c>
      <c r="N115" s="18" t="str">
        <f aca="false">IF(K115="Staff verified",Config!$B$4,IF(OR(K115="Authorized student verified",K115="Multiple student reports",K115="Single student report"),Config!$B$3,""))</f>
        <v/>
      </c>
      <c r="O115" s="18" t="str">
        <f aca="false">IF(H115="No","n/a",IF(L115="","Unverified Data",IF(M115&gt;N115,"Stale report",K115)))</f>
        <v>Unverified Data</v>
      </c>
      <c r="P115" s="18" t="str">
        <f aca="false">IF(AND(H115="Yes",OR(I115="Available",I115="Low stock")),IF(O115="Stale report","Verify first","Yes"),"No")</f>
        <v>Yes</v>
      </c>
      <c r="Q115" s="18" t="str">
        <f aca="false">IF(H115="Yes","proposed_pending_approval","n/a")</f>
        <v>proposed_pending_approval</v>
      </c>
      <c r="R115" s="18" t="str">
        <f aca="false">IF(H115="Yes","Retail swipe (proposed) / RU Express / Cash or card","n/a")</f>
        <v>Retail swipe (proposed) / RU Express / Cash or card</v>
      </c>
      <c r="S115" s="21" t="str">
        <f aca="false">INDEX(Products!$I$2:$I$29,MATCH($E115,Products!$A$2:$A$29,0))</f>
        <v>1 package</v>
      </c>
      <c r="T115" s="18" t="n">
        <f aca="false">IF(H115="Yes",Config!$B$5,"")</f>
        <v>75</v>
      </c>
      <c r="U115" s="21" t="str">
        <f aca="false">INDEX(Products!$J$2:$J$29,MATCH($E115,Products!$A$2:$A$29,0))</f>
        <v>No</v>
      </c>
      <c r="V115" s="18" t="s">
        <v>394</v>
      </c>
    </row>
    <row r="116" customFormat="false" ht="15" hidden="false" customHeight="true" outlineLevel="0" collapsed="false">
      <c r="A116" s="18" t="s">
        <v>515</v>
      </c>
      <c r="B116" s="18" t="s">
        <v>165</v>
      </c>
      <c r="C116" s="21" t="str">
        <f aca="false">INDEX(Locations!$B$2:$B$9,MATCH($B116,Locations!$A$2:$A$9,0))</f>
        <v>Harvest Juice Bar</v>
      </c>
      <c r="D116" s="21" t="str">
        <f aca="false">INDEX(Locations!$C$2:$C$9,MATCH($B116,Locations!$A$2:$A$9,0))</f>
        <v>Busch</v>
      </c>
      <c r="E116" s="18" t="s">
        <v>220</v>
      </c>
      <c r="F116" s="21" t="str">
        <f aca="false">INDEX(Products!$B$2:$B$29,MATCH($E116,Products!$A$2:$A$29,0))</f>
        <v>Aleve</v>
      </c>
      <c r="G116" s="21" t="str">
        <f aca="false">INDEX(Products!$C$2:$C$29,MATCH($E116,Products!$A$2:$A$29,0))</f>
        <v>Pain &amp; fever</v>
      </c>
      <c r="H116" s="18" t="s">
        <v>212</v>
      </c>
      <c r="I116" s="18" t="s">
        <v>487</v>
      </c>
      <c r="J116" s="18" t="str">
        <f aca="false">IF(H116="No","-",IF(I116="Available","Good supply",IF(I116="Low stock","Few left",IF(I116="Out of stock","None",IF(I116="Temporarily unavailable","Unavailable","Unknown")))))</f>
        <v>-</v>
      </c>
      <c r="K116" s="18"/>
      <c r="L116" s="22"/>
      <c r="M116" s="18" t="str">
        <f aca="false">IF(L116="","",ROUND((Config!$B$2-L116)*1440,0))</f>
        <v/>
      </c>
      <c r="N116" s="18" t="str">
        <f aca="false">IF(K116="Staff verified",Config!$B$4,IF(OR(K116="Authorized student verified",K116="Multiple student reports",K116="Single student report"),Config!$B$3,""))</f>
        <v/>
      </c>
      <c r="O116" s="18" t="str">
        <f aca="false">IF(H116="No","n/a",IF(L116="","Unverified Data",IF(M116&gt;N116,"Stale report",K116)))</f>
        <v>n/a</v>
      </c>
      <c r="P116" s="18" t="str">
        <f aca="false">IF(AND(H116="Yes",OR(I116="Available",I116="Low stock")),IF(O116="Stale report","Verify first","Yes"),"No")</f>
        <v>No</v>
      </c>
      <c r="Q116" s="18" t="str">
        <f aca="false">IF(H116="Yes","proposed_pending_approval","n/a")</f>
        <v>n/a</v>
      </c>
      <c r="R116" s="18" t="str">
        <f aca="false">IF(H116="Yes","Retail swipe (proposed) / RU Express / Cash or card","n/a")</f>
        <v>n/a</v>
      </c>
      <c r="S116" s="21" t="str">
        <f aca="false">INDEX(Products!$I$2:$I$29,MATCH($E116,Products!$A$2:$A$29,0))</f>
        <v>1 package</v>
      </c>
      <c r="T116" s="18" t="str">
        <f aca="false">IF(H116="Yes",Config!$B$5,"")</f>
        <v/>
      </c>
      <c r="U116" s="21" t="str">
        <f aca="false">INDEX(Products!$J$2:$J$29,MATCH($E116,Products!$A$2:$A$29,0))</f>
        <v>No</v>
      </c>
      <c r="V116" s="18" t="s">
        <v>394</v>
      </c>
    </row>
    <row r="117" customFormat="false" ht="15" hidden="false" customHeight="true" outlineLevel="0" collapsed="false">
      <c r="A117" s="18" t="s">
        <v>516</v>
      </c>
      <c r="B117" s="18" t="s">
        <v>165</v>
      </c>
      <c r="C117" s="21" t="str">
        <f aca="false">INDEX(Locations!$B$2:$B$9,MATCH($B117,Locations!$A$2:$A$9,0))</f>
        <v>Harvest Juice Bar</v>
      </c>
      <c r="D117" s="21" t="str">
        <f aca="false">INDEX(Locations!$C$2:$C$9,MATCH($B117,Locations!$A$2:$A$9,0))</f>
        <v>Busch</v>
      </c>
      <c r="E117" s="18" t="s">
        <v>226</v>
      </c>
      <c r="F117" s="21" t="str">
        <f aca="false">INDEX(Products!$B$2:$B$29,MATCH($E117,Products!$A$2:$A$29,0))</f>
        <v>Excedrin Migraine</v>
      </c>
      <c r="G117" s="21" t="str">
        <f aca="false">INDEX(Products!$C$2:$C$29,MATCH($E117,Products!$A$2:$A$29,0))</f>
        <v>Pain &amp; fever</v>
      </c>
      <c r="H117" s="18" t="s">
        <v>212</v>
      </c>
      <c r="I117" s="18" t="s">
        <v>487</v>
      </c>
      <c r="J117" s="18" t="str">
        <f aca="false">IF(H117="No","-",IF(I117="Available","Good supply",IF(I117="Low stock","Few left",IF(I117="Out of stock","None",IF(I117="Temporarily unavailable","Unavailable","Unknown")))))</f>
        <v>-</v>
      </c>
      <c r="K117" s="18"/>
      <c r="L117" s="22"/>
      <c r="M117" s="18" t="str">
        <f aca="false">IF(L117="","",ROUND((Config!$B$2-L117)*1440,0))</f>
        <v/>
      </c>
      <c r="N117" s="18" t="str">
        <f aca="false">IF(K117="Staff verified",Config!$B$4,IF(OR(K117="Authorized student verified",K117="Multiple student reports",K117="Single student report"),Config!$B$3,""))</f>
        <v/>
      </c>
      <c r="O117" s="18" t="str">
        <f aca="false">IF(H117="No","n/a",IF(L117="","Unverified Data",IF(M117&gt;N117,"Stale report",K117)))</f>
        <v>n/a</v>
      </c>
      <c r="P117" s="18" t="str">
        <f aca="false">IF(AND(H117="Yes",OR(I117="Available",I117="Low stock")),IF(O117="Stale report","Verify first","Yes"),"No")</f>
        <v>No</v>
      </c>
      <c r="Q117" s="18" t="str">
        <f aca="false">IF(H117="Yes","proposed_pending_approval","n/a")</f>
        <v>n/a</v>
      </c>
      <c r="R117" s="18" t="str">
        <f aca="false">IF(H117="Yes","Retail swipe (proposed) / RU Express / Cash or card","n/a")</f>
        <v>n/a</v>
      </c>
      <c r="S117" s="21" t="str">
        <f aca="false">INDEX(Products!$I$2:$I$29,MATCH($E117,Products!$A$2:$A$29,0))</f>
        <v>1 package</v>
      </c>
      <c r="T117" s="18" t="str">
        <f aca="false">IF(H117="Yes",Config!$B$5,"")</f>
        <v/>
      </c>
      <c r="U117" s="21" t="str">
        <f aca="false">INDEX(Products!$J$2:$J$29,MATCH($E117,Products!$A$2:$A$29,0))</f>
        <v>No</v>
      </c>
      <c r="V117" s="18" t="s">
        <v>394</v>
      </c>
    </row>
    <row r="118" customFormat="false" ht="15" hidden="false" customHeight="true" outlineLevel="0" collapsed="false">
      <c r="A118" s="18" t="s">
        <v>517</v>
      </c>
      <c r="B118" s="18" t="s">
        <v>165</v>
      </c>
      <c r="C118" s="21" t="str">
        <f aca="false">INDEX(Locations!$B$2:$B$9,MATCH($B118,Locations!$A$2:$A$9,0))</f>
        <v>Harvest Juice Bar</v>
      </c>
      <c r="D118" s="21" t="str">
        <f aca="false">INDEX(Locations!$C$2:$C$9,MATCH($B118,Locations!$A$2:$A$9,0))</f>
        <v>Busch</v>
      </c>
      <c r="E118" s="18" t="s">
        <v>232</v>
      </c>
      <c r="F118" s="21" t="str">
        <f aca="false">INDEX(Products!$B$2:$B$29,MATCH($E118,Products!$A$2:$A$29,0))</f>
        <v>Halls Mentho-Lyptus</v>
      </c>
      <c r="G118" s="21" t="str">
        <f aca="false">INDEX(Products!$C$2:$C$29,MATCH($E118,Products!$A$2:$A$29,0))</f>
        <v>Cold &amp; cough</v>
      </c>
      <c r="H118" s="18" t="s">
        <v>123</v>
      </c>
      <c r="I118" s="18" t="s">
        <v>392</v>
      </c>
      <c r="J118" s="18" t="str">
        <f aca="false">IF(H118="No","-",IF(I118="Available","Good supply",IF(I118="Low stock","Few left",IF(I118="Out of stock","None",IF(I118="Temporarily unavailable","Unavailable","Unknown")))))</f>
        <v>Good supply</v>
      </c>
      <c r="K118" s="18" t="s">
        <v>397</v>
      </c>
      <c r="L118" s="22" t="n">
        <v>46308.6104166667</v>
      </c>
      <c r="M118" s="18" t="n">
        <f aca="false">IF(L118="","",ROUND((Config!$B$2-L118)*1440,0))</f>
        <v>21</v>
      </c>
      <c r="N118" s="18" t="str">
        <f aca="false">IF(K118="Staff verified",Config!$B$4,IF(OR(K118="Authorized student verified",K118="Multiple student reports",K118="Single student report"),Config!$B$3,""))</f>
        <v/>
      </c>
      <c r="O118" s="18" t="str">
        <f aca="false">IF(H118="No","n/a",IF(L118="","Unverified Data",IF(M118&gt;N118,"Stale report",K118)))</f>
        <v>Verified student report</v>
      </c>
      <c r="P118" s="18" t="str">
        <f aca="false">IF(AND(H118="Yes",OR(I118="Available",I118="Low stock")),IF(O118="Stale report","Verify first","Yes"),"No")</f>
        <v>Yes</v>
      </c>
      <c r="Q118" s="18" t="str">
        <f aca="false">IF(H118="Yes","proposed_pending_approval","n/a")</f>
        <v>proposed_pending_approval</v>
      </c>
      <c r="R118" s="18" t="str">
        <f aca="false">IF(H118="Yes","Retail swipe (proposed) / RU Express / Cash or card","n/a")</f>
        <v>Retail swipe (proposed) / RU Express / Cash or card</v>
      </c>
      <c r="S118" s="21" t="str">
        <f aca="false">INDEX(Products!$I$2:$I$29,MATCH($E118,Products!$A$2:$A$29,0))</f>
        <v>2 bags</v>
      </c>
      <c r="T118" s="18" t="n">
        <f aca="false">IF(H118="Yes",Config!$B$5,"")</f>
        <v>75</v>
      </c>
      <c r="U118" s="21" t="str">
        <f aca="false">INDEX(Products!$J$2:$J$29,MATCH($E118,Products!$A$2:$A$29,0))</f>
        <v>No</v>
      </c>
      <c r="V118" s="18" t="s">
        <v>394</v>
      </c>
    </row>
    <row r="119" customFormat="false" ht="15" hidden="false" customHeight="true" outlineLevel="0" collapsed="false">
      <c r="A119" s="18" t="s">
        <v>518</v>
      </c>
      <c r="B119" s="18" t="s">
        <v>165</v>
      </c>
      <c r="C119" s="21" t="str">
        <f aca="false">INDEX(Locations!$B$2:$B$9,MATCH($B119,Locations!$A$2:$A$9,0))</f>
        <v>Harvest Juice Bar</v>
      </c>
      <c r="D119" s="21" t="str">
        <f aca="false">INDEX(Locations!$C$2:$C$9,MATCH($B119,Locations!$A$2:$A$9,0))</f>
        <v>Busch</v>
      </c>
      <c r="E119" s="18" t="s">
        <v>240</v>
      </c>
      <c r="F119" s="21" t="str">
        <f aca="false">INDEX(Products!$B$2:$B$29,MATCH($E119,Products!$A$2:$A$29,0))</f>
        <v>Ricola Original Natural Herb</v>
      </c>
      <c r="G119" s="21" t="str">
        <f aca="false">INDEX(Products!$C$2:$C$29,MATCH($E119,Products!$A$2:$A$29,0))</f>
        <v>Cold &amp; cough</v>
      </c>
      <c r="H119" s="18" t="s">
        <v>212</v>
      </c>
      <c r="I119" s="18" t="s">
        <v>487</v>
      </c>
      <c r="J119" s="18" t="str">
        <f aca="false">IF(H119="No","-",IF(I119="Available","Good supply",IF(I119="Low stock","Few left",IF(I119="Out of stock","None",IF(I119="Temporarily unavailable","Unavailable","Unknown")))))</f>
        <v>-</v>
      </c>
      <c r="K119" s="18"/>
      <c r="L119" s="22"/>
      <c r="M119" s="18" t="str">
        <f aca="false">IF(L119="","",ROUND((Config!$B$2-L119)*1440,0))</f>
        <v/>
      </c>
      <c r="N119" s="18" t="str">
        <f aca="false">IF(K119="Staff verified",Config!$B$4,IF(OR(K119="Authorized student verified",K119="Multiple student reports",K119="Single student report"),Config!$B$3,""))</f>
        <v/>
      </c>
      <c r="O119" s="18" t="str">
        <f aca="false">IF(H119="No","n/a",IF(L119="","Unverified Data",IF(M119&gt;N119,"Stale report",K119)))</f>
        <v>n/a</v>
      </c>
      <c r="P119" s="18" t="str">
        <f aca="false">IF(AND(H119="Yes",OR(I119="Available",I119="Low stock")),IF(O119="Stale report","Verify first","Yes"),"No")</f>
        <v>No</v>
      </c>
      <c r="Q119" s="18" t="str">
        <f aca="false">IF(H119="Yes","proposed_pending_approval","n/a")</f>
        <v>n/a</v>
      </c>
      <c r="R119" s="18" t="str">
        <f aca="false">IF(H119="Yes","Retail swipe (proposed) / RU Express / Cash or card","n/a")</f>
        <v>n/a</v>
      </c>
      <c r="S119" s="21" t="str">
        <f aca="false">INDEX(Products!$I$2:$I$29,MATCH($E119,Products!$A$2:$A$29,0))</f>
        <v>2 bags</v>
      </c>
      <c r="T119" s="18" t="str">
        <f aca="false">IF(H119="Yes",Config!$B$5,"")</f>
        <v/>
      </c>
      <c r="U119" s="21" t="str">
        <f aca="false">INDEX(Products!$J$2:$J$29,MATCH($E119,Products!$A$2:$A$29,0))</f>
        <v>No</v>
      </c>
      <c r="V119" s="18" t="s">
        <v>394</v>
      </c>
    </row>
    <row r="120" customFormat="false" ht="15" hidden="false" customHeight="true" outlineLevel="0" collapsed="false">
      <c r="A120" s="18" t="s">
        <v>519</v>
      </c>
      <c r="B120" s="18" t="s">
        <v>165</v>
      </c>
      <c r="C120" s="21" t="str">
        <f aca="false">INDEX(Locations!$B$2:$B$9,MATCH($B120,Locations!$A$2:$A$9,0))</f>
        <v>Harvest Juice Bar</v>
      </c>
      <c r="D120" s="21" t="str">
        <f aca="false">INDEX(Locations!$C$2:$C$9,MATCH($B120,Locations!$A$2:$A$9,0))</f>
        <v>Busch</v>
      </c>
      <c r="E120" s="18" t="s">
        <v>245</v>
      </c>
      <c r="F120" s="21" t="str">
        <f aca="false">INDEX(Products!$B$2:$B$29,MATCH($E120,Products!$A$2:$A$29,0))</f>
        <v>Chloraseptic Sore Throat Spray</v>
      </c>
      <c r="G120" s="21" t="str">
        <f aca="false">INDEX(Products!$C$2:$C$29,MATCH($E120,Products!$A$2:$A$29,0))</f>
        <v>Cold &amp; cough</v>
      </c>
      <c r="H120" s="18" t="s">
        <v>212</v>
      </c>
      <c r="I120" s="18" t="s">
        <v>487</v>
      </c>
      <c r="J120" s="18" t="str">
        <f aca="false">IF(H120="No","-",IF(I120="Available","Good supply",IF(I120="Low stock","Few left",IF(I120="Out of stock","None",IF(I120="Temporarily unavailable","Unavailable","Unknown")))))</f>
        <v>-</v>
      </c>
      <c r="K120" s="18"/>
      <c r="L120" s="22"/>
      <c r="M120" s="18" t="str">
        <f aca="false">IF(L120="","",ROUND((Config!$B$2-L120)*1440,0))</f>
        <v/>
      </c>
      <c r="N120" s="18" t="str">
        <f aca="false">IF(K120="Staff verified",Config!$B$4,IF(OR(K120="Authorized student verified",K120="Multiple student reports",K120="Single student report"),Config!$B$3,""))</f>
        <v/>
      </c>
      <c r="O120" s="18" t="str">
        <f aca="false">IF(H120="No","n/a",IF(L120="","Unverified Data",IF(M120&gt;N120,"Stale report",K120)))</f>
        <v>n/a</v>
      </c>
      <c r="P120" s="18" t="str">
        <f aca="false">IF(AND(H120="Yes",OR(I120="Available",I120="Low stock")),IF(O120="Stale report","Verify first","Yes"),"No")</f>
        <v>No</v>
      </c>
      <c r="Q120" s="18" t="str">
        <f aca="false">IF(H120="Yes","proposed_pending_approval","n/a")</f>
        <v>n/a</v>
      </c>
      <c r="R120" s="18" t="str">
        <f aca="false">IF(H120="Yes","Retail swipe (proposed) / RU Express / Cash or card","n/a")</f>
        <v>n/a</v>
      </c>
      <c r="S120" s="21" t="str">
        <f aca="false">INDEX(Products!$I$2:$I$29,MATCH($E120,Products!$A$2:$A$29,0))</f>
        <v>1 bottle</v>
      </c>
      <c r="T120" s="18" t="str">
        <f aca="false">IF(H120="Yes",Config!$B$5,"")</f>
        <v/>
      </c>
      <c r="U120" s="21" t="str">
        <f aca="false">INDEX(Products!$J$2:$J$29,MATCH($E120,Products!$A$2:$A$29,0))</f>
        <v>No</v>
      </c>
      <c r="V120" s="18" t="s">
        <v>394</v>
      </c>
    </row>
    <row r="121" customFormat="false" ht="15" hidden="false" customHeight="true" outlineLevel="0" collapsed="false">
      <c r="A121" s="18" t="s">
        <v>520</v>
      </c>
      <c r="B121" s="18" t="s">
        <v>165</v>
      </c>
      <c r="C121" s="21" t="str">
        <f aca="false">INDEX(Locations!$B$2:$B$9,MATCH($B121,Locations!$A$2:$A$9,0))</f>
        <v>Harvest Juice Bar</v>
      </c>
      <c r="D121" s="21" t="str">
        <f aca="false">INDEX(Locations!$C$2:$C$9,MATCH($B121,Locations!$A$2:$A$9,0))</f>
        <v>Busch</v>
      </c>
      <c r="E121" s="18" t="s">
        <v>251</v>
      </c>
      <c r="F121" s="21" t="str">
        <f aca="false">INDEX(Products!$B$2:$B$29,MATCH($E121,Products!$A$2:$A$29,0))</f>
        <v>Mucinex</v>
      </c>
      <c r="G121" s="21" t="str">
        <f aca="false">INDEX(Products!$C$2:$C$29,MATCH($E121,Products!$A$2:$A$29,0))</f>
        <v>Cold &amp; cough</v>
      </c>
      <c r="H121" s="18" t="s">
        <v>123</v>
      </c>
      <c r="I121" s="18" t="s">
        <v>392</v>
      </c>
      <c r="J121" s="18" t="str">
        <f aca="false">IF(H121="No","-",IF(I121="Available","Good supply",IF(I121="Low stock","Few left",IF(I121="Out of stock","None",IF(I121="Temporarily unavailable","Unavailable","Unknown")))))</f>
        <v>Good supply</v>
      </c>
      <c r="K121" s="18" t="s">
        <v>393</v>
      </c>
      <c r="L121" s="22" t="n">
        <v>46308.5208333333</v>
      </c>
      <c r="M121" s="18" t="n">
        <f aca="false">IF(L121="","",ROUND((Config!$B$2-L121)*1440,0))</f>
        <v>150</v>
      </c>
      <c r="N121" s="18" t="n">
        <f aca="false">IF(K121="Staff verified",Config!$B$4,IF(OR(K121="Authorized student verified",K121="Multiple student reports",K121="Single student report"),Config!$B$3,""))</f>
        <v>240</v>
      </c>
      <c r="O121" s="18" t="str">
        <f aca="false">IF(H121="No","n/a",IF(L121="","Unverified Data",IF(M121&gt;N121,"Stale report",K121)))</f>
        <v>Staff verified</v>
      </c>
      <c r="P121" s="18" t="str">
        <f aca="false">IF(AND(H121="Yes",OR(I121="Available",I121="Low stock")),IF(O121="Stale report","Verify first","Yes"),"No")</f>
        <v>Yes</v>
      </c>
      <c r="Q121" s="18" t="str">
        <f aca="false">IF(H121="Yes","proposed_pending_approval","n/a")</f>
        <v>proposed_pending_approval</v>
      </c>
      <c r="R121" s="18" t="str">
        <f aca="false">IF(H121="Yes","Retail swipe (proposed) / RU Express / Cash or card","n/a")</f>
        <v>Retail swipe (proposed) / RU Express / Cash or card</v>
      </c>
      <c r="S121" s="21" t="str">
        <f aca="false">INDEX(Products!$I$2:$I$29,MATCH($E121,Products!$A$2:$A$29,0))</f>
        <v>1 package</v>
      </c>
      <c r="T121" s="18" t="n">
        <f aca="false">IF(H121="Yes",Config!$B$5,"")</f>
        <v>75</v>
      </c>
      <c r="U121" s="21" t="str">
        <f aca="false">INDEX(Products!$J$2:$J$29,MATCH($E121,Products!$A$2:$A$29,0))</f>
        <v>No</v>
      </c>
      <c r="V121" s="18" t="s">
        <v>394</v>
      </c>
    </row>
    <row r="122" customFormat="false" ht="15" hidden="false" customHeight="true" outlineLevel="0" collapsed="false">
      <c r="A122" s="18" t="s">
        <v>521</v>
      </c>
      <c r="B122" s="18" t="s">
        <v>165</v>
      </c>
      <c r="C122" s="21" t="str">
        <f aca="false">INDEX(Locations!$B$2:$B$9,MATCH($B122,Locations!$A$2:$A$9,0))</f>
        <v>Harvest Juice Bar</v>
      </c>
      <c r="D122" s="21" t="str">
        <f aca="false">INDEX(Locations!$C$2:$C$9,MATCH($B122,Locations!$A$2:$A$9,0))</f>
        <v>Busch</v>
      </c>
      <c r="E122" s="18" t="s">
        <v>257</v>
      </c>
      <c r="F122" s="21" t="str">
        <f aca="false">INDEX(Products!$B$2:$B$29,MATCH($E122,Products!$A$2:$A$29,0))</f>
        <v>Robitussin DM</v>
      </c>
      <c r="G122" s="21" t="str">
        <f aca="false">INDEX(Products!$C$2:$C$29,MATCH($E122,Products!$A$2:$A$29,0))</f>
        <v>Cold &amp; cough</v>
      </c>
      <c r="H122" s="18" t="s">
        <v>212</v>
      </c>
      <c r="I122" s="18" t="s">
        <v>487</v>
      </c>
      <c r="J122" s="18" t="str">
        <f aca="false">IF(H122="No","-",IF(I122="Available","Good supply",IF(I122="Low stock","Few left",IF(I122="Out of stock","None",IF(I122="Temporarily unavailable","Unavailable","Unknown")))))</f>
        <v>-</v>
      </c>
      <c r="K122" s="18"/>
      <c r="L122" s="22"/>
      <c r="M122" s="18" t="str">
        <f aca="false">IF(L122="","",ROUND((Config!$B$2-L122)*1440,0))</f>
        <v/>
      </c>
      <c r="N122" s="18" t="str">
        <f aca="false">IF(K122="Staff verified",Config!$B$4,IF(OR(K122="Authorized student verified",K122="Multiple student reports",K122="Single student report"),Config!$B$3,""))</f>
        <v/>
      </c>
      <c r="O122" s="18" t="str">
        <f aca="false">IF(H122="No","n/a",IF(L122="","Unverified Data",IF(M122&gt;N122,"Stale report",K122)))</f>
        <v>n/a</v>
      </c>
      <c r="P122" s="18" t="str">
        <f aca="false">IF(AND(H122="Yes",OR(I122="Available",I122="Low stock")),IF(O122="Stale report","Verify first","Yes"),"No")</f>
        <v>No</v>
      </c>
      <c r="Q122" s="18" t="str">
        <f aca="false">IF(H122="Yes","proposed_pending_approval","n/a")</f>
        <v>n/a</v>
      </c>
      <c r="R122" s="18" t="str">
        <f aca="false">IF(H122="Yes","Retail swipe (proposed) / RU Express / Cash or card","n/a")</f>
        <v>n/a</v>
      </c>
      <c r="S122" s="21" t="str">
        <f aca="false">INDEX(Products!$I$2:$I$29,MATCH($E122,Products!$A$2:$A$29,0))</f>
        <v>1 bottle</v>
      </c>
      <c r="T122" s="18" t="str">
        <f aca="false">IF(H122="Yes",Config!$B$5,"")</f>
        <v/>
      </c>
      <c r="U122" s="21" t="str">
        <f aca="false">INDEX(Products!$J$2:$J$29,MATCH($E122,Products!$A$2:$A$29,0))</f>
        <v>No</v>
      </c>
      <c r="V122" s="18" t="s">
        <v>394</v>
      </c>
    </row>
    <row r="123" customFormat="false" ht="15" hidden="false" customHeight="true" outlineLevel="0" collapsed="false">
      <c r="A123" s="18" t="s">
        <v>522</v>
      </c>
      <c r="B123" s="18" t="s">
        <v>165</v>
      </c>
      <c r="C123" s="21" t="str">
        <f aca="false">INDEX(Locations!$B$2:$B$9,MATCH($B123,Locations!$A$2:$A$9,0))</f>
        <v>Harvest Juice Bar</v>
      </c>
      <c r="D123" s="21" t="str">
        <f aca="false">INDEX(Locations!$C$2:$C$9,MATCH($B123,Locations!$A$2:$A$9,0))</f>
        <v>Busch</v>
      </c>
      <c r="E123" s="18" t="s">
        <v>263</v>
      </c>
      <c r="F123" s="21" t="str">
        <f aca="false">INDEX(Products!$B$2:$B$29,MATCH($E123,Products!$A$2:$A$29,0))</f>
        <v>Simply Saline Nasal Mist</v>
      </c>
      <c r="G123" s="21" t="str">
        <f aca="false">INDEX(Products!$C$2:$C$29,MATCH($E123,Products!$A$2:$A$29,0))</f>
        <v>Cold &amp; cough</v>
      </c>
      <c r="H123" s="18" t="s">
        <v>212</v>
      </c>
      <c r="I123" s="18" t="s">
        <v>487</v>
      </c>
      <c r="J123" s="18" t="str">
        <f aca="false">IF(H123="No","-",IF(I123="Available","Good supply",IF(I123="Low stock","Few left",IF(I123="Out of stock","None",IF(I123="Temporarily unavailable","Unavailable","Unknown")))))</f>
        <v>-</v>
      </c>
      <c r="K123" s="18"/>
      <c r="L123" s="22"/>
      <c r="M123" s="18" t="str">
        <f aca="false">IF(L123="","",ROUND((Config!$B$2-L123)*1440,0))</f>
        <v/>
      </c>
      <c r="N123" s="18" t="str">
        <f aca="false">IF(K123="Staff verified",Config!$B$4,IF(OR(K123="Authorized student verified",K123="Multiple student reports",K123="Single student report"),Config!$B$3,""))</f>
        <v/>
      </c>
      <c r="O123" s="18" t="str">
        <f aca="false">IF(H123="No","n/a",IF(L123="","Unverified Data",IF(M123&gt;N123,"Stale report",K123)))</f>
        <v>n/a</v>
      </c>
      <c r="P123" s="18" t="str">
        <f aca="false">IF(AND(H123="Yes",OR(I123="Available",I123="Low stock")),IF(O123="Stale report","Verify first","Yes"),"No")</f>
        <v>No</v>
      </c>
      <c r="Q123" s="18" t="str">
        <f aca="false">IF(H123="Yes","proposed_pending_approval","n/a")</f>
        <v>n/a</v>
      </c>
      <c r="R123" s="18" t="str">
        <f aca="false">IF(H123="Yes","Retail swipe (proposed) / RU Express / Cash or card","n/a")</f>
        <v>n/a</v>
      </c>
      <c r="S123" s="21" t="str">
        <f aca="false">INDEX(Products!$I$2:$I$29,MATCH($E123,Products!$A$2:$A$29,0))</f>
        <v>1 bottle</v>
      </c>
      <c r="T123" s="18" t="str">
        <f aca="false">IF(H123="Yes",Config!$B$5,"")</f>
        <v/>
      </c>
      <c r="U123" s="21" t="str">
        <f aca="false">INDEX(Products!$J$2:$J$29,MATCH($E123,Products!$A$2:$A$29,0))</f>
        <v>No</v>
      </c>
      <c r="V123" s="18" t="s">
        <v>394</v>
      </c>
    </row>
    <row r="124" customFormat="false" ht="15" hidden="false" customHeight="true" outlineLevel="0" collapsed="false">
      <c r="A124" s="18" t="s">
        <v>523</v>
      </c>
      <c r="B124" s="18" t="s">
        <v>165</v>
      </c>
      <c r="C124" s="21" t="str">
        <f aca="false">INDEX(Locations!$B$2:$B$9,MATCH($B124,Locations!$A$2:$A$9,0))</f>
        <v>Harvest Juice Bar</v>
      </c>
      <c r="D124" s="21" t="str">
        <f aca="false">INDEX(Locations!$C$2:$C$9,MATCH($B124,Locations!$A$2:$A$9,0))</f>
        <v>Busch</v>
      </c>
      <c r="E124" s="18" t="s">
        <v>268</v>
      </c>
      <c r="F124" s="21" t="str">
        <f aca="false">INDEX(Products!$B$2:$B$29,MATCH($E124,Products!$A$2:$A$29,0))</f>
        <v>Claritin</v>
      </c>
      <c r="G124" s="21" t="str">
        <f aca="false">INDEX(Products!$C$2:$C$29,MATCH($E124,Products!$A$2:$A$29,0))</f>
        <v>Allergy</v>
      </c>
      <c r="H124" s="18" t="s">
        <v>123</v>
      </c>
      <c r="I124" s="18" t="s">
        <v>392</v>
      </c>
      <c r="J124" s="18" t="str">
        <f aca="false">IF(H124="No","-",IF(I124="Available","Good supply",IF(I124="Low stock","Few left",IF(I124="Out of stock","None",IF(I124="Temporarily unavailable","Unavailable","Unknown")))))</f>
        <v>Good supply</v>
      </c>
      <c r="K124" s="18" t="s">
        <v>409</v>
      </c>
      <c r="L124" s="22"/>
      <c r="M124" s="18" t="str">
        <f aca="false">IF(L124="","",ROUND((Config!$B$2-L124)*1440,0))</f>
        <v/>
      </c>
      <c r="N124" s="18" t="str">
        <f aca="false">IF(K124="Staff verified",Config!$B$4,IF(OR(K124="Authorized student verified",K124="Multiple student reports",K124="Single student report"),Config!$B$3,""))</f>
        <v/>
      </c>
      <c r="O124" s="18" t="str">
        <f aca="false">IF(H124="No","n/a",IF(L124="","Unverified Data",IF(M124&gt;N124,"Stale report",K124)))</f>
        <v>Unverified Data</v>
      </c>
      <c r="P124" s="18" t="str">
        <f aca="false">IF(AND(H124="Yes",OR(I124="Available",I124="Low stock")),IF(O124="Stale report","Verify first","Yes"),"No")</f>
        <v>Yes</v>
      </c>
      <c r="Q124" s="18" t="str">
        <f aca="false">IF(H124="Yes","proposed_pending_approval","n/a")</f>
        <v>proposed_pending_approval</v>
      </c>
      <c r="R124" s="18" t="str">
        <f aca="false">IF(H124="Yes","Retail swipe (proposed) / RU Express / Cash or card","n/a")</f>
        <v>Retail swipe (proposed) / RU Express / Cash or card</v>
      </c>
      <c r="S124" s="21" t="str">
        <f aca="false">INDEX(Products!$I$2:$I$29,MATCH($E124,Products!$A$2:$A$29,0))</f>
        <v>1 package</v>
      </c>
      <c r="T124" s="18" t="n">
        <f aca="false">IF(H124="Yes",Config!$B$5,"")</f>
        <v>75</v>
      </c>
      <c r="U124" s="21" t="str">
        <f aca="false">INDEX(Products!$J$2:$J$29,MATCH($E124,Products!$A$2:$A$29,0))</f>
        <v>No</v>
      </c>
      <c r="V124" s="18" t="s">
        <v>394</v>
      </c>
    </row>
    <row r="125" customFormat="false" ht="15" hidden="false" customHeight="true" outlineLevel="0" collapsed="false">
      <c r="A125" s="18" t="s">
        <v>524</v>
      </c>
      <c r="B125" s="18" t="s">
        <v>165</v>
      </c>
      <c r="C125" s="21" t="str">
        <f aca="false">INDEX(Locations!$B$2:$B$9,MATCH($B125,Locations!$A$2:$A$9,0))</f>
        <v>Harvest Juice Bar</v>
      </c>
      <c r="D125" s="21" t="str">
        <f aca="false">INDEX(Locations!$C$2:$C$9,MATCH($B125,Locations!$A$2:$A$9,0))</f>
        <v>Busch</v>
      </c>
      <c r="E125" s="18" t="s">
        <v>275</v>
      </c>
      <c r="F125" s="21" t="str">
        <f aca="false">INDEX(Products!$B$2:$B$29,MATCH($E125,Products!$A$2:$A$29,0))</f>
        <v>Zyrtec</v>
      </c>
      <c r="G125" s="21" t="str">
        <f aca="false">INDEX(Products!$C$2:$C$29,MATCH($E125,Products!$A$2:$A$29,0))</f>
        <v>Allergy</v>
      </c>
      <c r="H125" s="18" t="s">
        <v>212</v>
      </c>
      <c r="I125" s="18" t="s">
        <v>487</v>
      </c>
      <c r="J125" s="18" t="str">
        <f aca="false">IF(H125="No","-",IF(I125="Available","Good supply",IF(I125="Low stock","Few left",IF(I125="Out of stock","None",IF(I125="Temporarily unavailable","Unavailable","Unknown")))))</f>
        <v>-</v>
      </c>
      <c r="K125" s="18"/>
      <c r="L125" s="22"/>
      <c r="M125" s="18" t="str">
        <f aca="false">IF(L125="","",ROUND((Config!$B$2-L125)*1440,0))</f>
        <v/>
      </c>
      <c r="N125" s="18" t="str">
        <f aca="false">IF(K125="Staff verified",Config!$B$4,IF(OR(K125="Authorized student verified",K125="Multiple student reports",K125="Single student report"),Config!$B$3,""))</f>
        <v/>
      </c>
      <c r="O125" s="18" t="str">
        <f aca="false">IF(H125="No","n/a",IF(L125="","Unverified Data",IF(M125&gt;N125,"Stale report",K125)))</f>
        <v>n/a</v>
      </c>
      <c r="P125" s="18" t="str">
        <f aca="false">IF(AND(H125="Yes",OR(I125="Available",I125="Low stock")),IF(O125="Stale report","Verify first","Yes"),"No")</f>
        <v>No</v>
      </c>
      <c r="Q125" s="18" t="str">
        <f aca="false">IF(H125="Yes","proposed_pending_approval","n/a")</f>
        <v>n/a</v>
      </c>
      <c r="R125" s="18" t="str">
        <f aca="false">IF(H125="Yes","Retail swipe (proposed) / RU Express / Cash or card","n/a")</f>
        <v>n/a</v>
      </c>
      <c r="S125" s="21" t="str">
        <f aca="false">INDEX(Products!$I$2:$I$29,MATCH($E125,Products!$A$2:$A$29,0))</f>
        <v>1 package</v>
      </c>
      <c r="T125" s="18" t="str">
        <f aca="false">IF(H125="Yes",Config!$B$5,"")</f>
        <v/>
      </c>
      <c r="U125" s="21" t="str">
        <f aca="false">INDEX(Products!$J$2:$J$29,MATCH($E125,Products!$A$2:$A$29,0))</f>
        <v>No</v>
      </c>
      <c r="V125" s="18" t="s">
        <v>394</v>
      </c>
    </row>
    <row r="126" customFormat="false" ht="15" hidden="false" customHeight="true" outlineLevel="0" collapsed="false">
      <c r="A126" s="18" t="s">
        <v>525</v>
      </c>
      <c r="B126" s="18" t="s">
        <v>165</v>
      </c>
      <c r="C126" s="21" t="str">
        <f aca="false">INDEX(Locations!$B$2:$B$9,MATCH($B126,Locations!$A$2:$A$9,0))</f>
        <v>Harvest Juice Bar</v>
      </c>
      <c r="D126" s="21" t="str">
        <f aca="false">INDEX(Locations!$C$2:$C$9,MATCH($B126,Locations!$A$2:$A$9,0))</f>
        <v>Busch</v>
      </c>
      <c r="E126" s="18" t="s">
        <v>281</v>
      </c>
      <c r="F126" s="21" t="str">
        <f aca="false">INDEX(Products!$B$2:$B$29,MATCH($E126,Products!$A$2:$A$29,0))</f>
        <v>Benadryl</v>
      </c>
      <c r="G126" s="21" t="str">
        <f aca="false">INDEX(Products!$C$2:$C$29,MATCH($E126,Products!$A$2:$A$29,0))</f>
        <v>Allergy</v>
      </c>
      <c r="H126" s="18" t="s">
        <v>212</v>
      </c>
      <c r="I126" s="18" t="s">
        <v>487</v>
      </c>
      <c r="J126" s="18" t="str">
        <f aca="false">IF(H126="No","-",IF(I126="Available","Good supply",IF(I126="Low stock","Few left",IF(I126="Out of stock","None",IF(I126="Temporarily unavailable","Unavailable","Unknown")))))</f>
        <v>-</v>
      </c>
      <c r="K126" s="18"/>
      <c r="L126" s="22"/>
      <c r="M126" s="18" t="str">
        <f aca="false">IF(L126="","",ROUND((Config!$B$2-L126)*1440,0))</f>
        <v/>
      </c>
      <c r="N126" s="18" t="str">
        <f aca="false">IF(K126="Staff verified",Config!$B$4,IF(OR(K126="Authorized student verified",K126="Multiple student reports",K126="Single student report"),Config!$B$3,""))</f>
        <v/>
      </c>
      <c r="O126" s="18" t="str">
        <f aca="false">IF(H126="No","n/a",IF(L126="","Unverified Data",IF(M126&gt;N126,"Stale report",K126)))</f>
        <v>n/a</v>
      </c>
      <c r="P126" s="18" t="str">
        <f aca="false">IF(AND(H126="Yes",OR(I126="Available",I126="Low stock")),IF(O126="Stale report","Verify first","Yes"),"No")</f>
        <v>No</v>
      </c>
      <c r="Q126" s="18" t="str">
        <f aca="false">IF(H126="Yes","proposed_pending_approval","n/a")</f>
        <v>n/a</v>
      </c>
      <c r="R126" s="18" t="str">
        <f aca="false">IF(H126="Yes","Retail swipe (proposed) / RU Express / Cash or card","n/a")</f>
        <v>n/a</v>
      </c>
      <c r="S126" s="21" t="str">
        <f aca="false">INDEX(Products!$I$2:$I$29,MATCH($E126,Products!$A$2:$A$29,0))</f>
        <v>1 package</v>
      </c>
      <c r="T126" s="18" t="str">
        <f aca="false">IF(H126="Yes",Config!$B$5,"")</f>
        <v/>
      </c>
      <c r="U126" s="21" t="str">
        <f aca="false">INDEX(Products!$J$2:$J$29,MATCH($E126,Products!$A$2:$A$29,0))</f>
        <v>No</v>
      </c>
      <c r="V126" s="18" t="s">
        <v>394</v>
      </c>
    </row>
    <row r="127" customFormat="false" ht="15" hidden="false" customHeight="true" outlineLevel="0" collapsed="false">
      <c r="A127" s="18" t="s">
        <v>526</v>
      </c>
      <c r="B127" s="18" t="s">
        <v>165</v>
      </c>
      <c r="C127" s="21" t="str">
        <f aca="false">INDEX(Locations!$B$2:$B$9,MATCH($B127,Locations!$A$2:$A$9,0))</f>
        <v>Harvest Juice Bar</v>
      </c>
      <c r="D127" s="21" t="str">
        <f aca="false">INDEX(Locations!$C$2:$C$9,MATCH($B127,Locations!$A$2:$A$9,0))</f>
        <v>Busch</v>
      </c>
      <c r="E127" s="18" t="s">
        <v>287</v>
      </c>
      <c r="F127" s="21" t="str">
        <f aca="false">INDEX(Products!$B$2:$B$29,MATCH($E127,Products!$A$2:$A$29,0))</f>
        <v>Tums</v>
      </c>
      <c r="G127" s="21" t="str">
        <f aca="false">INDEX(Products!$C$2:$C$29,MATCH($E127,Products!$A$2:$A$29,0))</f>
        <v>Digestive</v>
      </c>
      <c r="H127" s="18" t="s">
        <v>123</v>
      </c>
      <c r="I127" s="18" t="s">
        <v>404</v>
      </c>
      <c r="J127" s="18" t="str">
        <f aca="false">IF(H127="No","-",IF(I127="Available","Good supply",IF(I127="Low stock","Few left",IF(I127="Out of stock","None",IF(I127="Temporarily unavailable","Unavailable","Unknown")))))</f>
        <v>Few left</v>
      </c>
      <c r="K127" s="18" t="s">
        <v>393</v>
      </c>
      <c r="L127" s="22" t="n">
        <v>46308.4493055556</v>
      </c>
      <c r="M127" s="18" t="n">
        <f aca="false">IF(L127="","",ROUND((Config!$B$2-L127)*1440,0))</f>
        <v>253</v>
      </c>
      <c r="N127" s="18" t="n">
        <f aca="false">IF(K127="Staff verified",Config!$B$4,IF(OR(K127="Authorized student verified",K127="Multiple student reports",K127="Single student report"),Config!$B$3,""))</f>
        <v>240</v>
      </c>
      <c r="O127" s="18" t="str">
        <f aca="false">IF(H127="No","n/a",IF(L127="","Unverified Data",IF(M127&gt;N127,"Stale report",K127)))</f>
        <v>Stale report</v>
      </c>
      <c r="P127" s="18" t="str">
        <f aca="false">IF(AND(H127="Yes",OR(I127="Available",I127="Low stock")),IF(O127="Stale report","Verify first","Yes"),"No")</f>
        <v>Verify first</v>
      </c>
      <c r="Q127" s="18" t="str">
        <f aca="false">IF(H127="Yes","proposed_pending_approval","n/a")</f>
        <v>proposed_pending_approval</v>
      </c>
      <c r="R127" s="18" t="str">
        <f aca="false">IF(H127="Yes","Retail swipe (proposed) / RU Express / Cash or card","n/a")</f>
        <v>Retail swipe (proposed) / RU Express / Cash or card</v>
      </c>
      <c r="S127" s="21" t="str">
        <f aca="false">INDEX(Products!$I$2:$I$29,MATCH($E127,Products!$A$2:$A$29,0))</f>
        <v>1 package</v>
      </c>
      <c r="T127" s="18" t="n">
        <f aca="false">IF(H127="Yes",Config!$B$5,"")</f>
        <v>75</v>
      </c>
      <c r="U127" s="21" t="str">
        <f aca="false">INDEX(Products!$J$2:$J$29,MATCH($E127,Products!$A$2:$A$29,0))</f>
        <v>No</v>
      </c>
      <c r="V127" s="18" t="s">
        <v>394</v>
      </c>
    </row>
    <row r="128" customFormat="false" ht="15" hidden="false" customHeight="true" outlineLevel="0" collapsed="false">
      <c r="A128" s="18" t="s">
        <v>527</v>
      </c>
      <c r="B128" s="18" t="s">
        <v>165</v>
      </c>
      <c r="C128" s="21" t="str">
        <f aca="false">INDEX(Locations!$B$2:$B$9,MATCH($B128,Locations!$A$2:$A$9,0))</f>
        <v>Harvest Juice Bar</v>
      </c>
      <c r="D128" s="21" t="str">
        <f aca="false">INDEX(Locations!$C$2:$C$9,MATCH($B128,Locations!$A$2:$A$9,0))</f>
        <v>Busch</v>
      </c>
      <c r="E128" s="18" t="s">
        <v>293</v>
      </c>
      <c r="F128" s="21" t="str">
        <f aca="false">INDEX(Products!$B$2:$B$29,MATCH($E128,Products!$A$2:$A$29,0))</f>
        <v>Pepto-Bismol</v>
      </c>
      <c r="G128" s="21" t="str">
        <f aca="false">INDEX(Products!$C$2:$C$29,MATCH($E128,Products!$A$2:$A$29,0))</f>
        <v>Digestive</v>
      </c>
      <c r="H128" s="18" t="s">
        <v>123</v>
      </c>
      <c r="I128" s="18" t="s">
        <v>392</v>
      </c>
      <c r="J128" s="18" t="str">
        <f aca="false">IF(H128="No","-",IF(I128="Available","Good supply",IF(I128="Low stock","Few left",IF(I128="Out of stock","None",IF(I128="Temporarily unavailable","Unavailable","Unknown")))))</f>
        <v>Good supply</v>
      </c>
      <c r="K128" s="18" t="s">
        <v>397</v>
      </c>
      <c r="L128" s="22" t="n">
        <v>46308.59375</v>
      </c>
      <c r="M128" s="18" t="n">
        <f aca="false">IF(L128="","",ROUND((Config!$B$2-L128)*1440,0))</f>
        <v>45</v>
      </c>
      <c r="N128" s="18" t="str">
        <f aca="false">IF(K128="Staff verified",Config!$B$4,IF(OR(K128="Authorized student verified",K128="Multiple student reports",K128="Single student report"),Config!$B$3,""))</f>
        <v/>
      </c>
      <c r="O128" s="18" t="str">
        <f aca="false">IF(H128="No","n/a",IF(L128="","Unverified Data",IF(M128&gt;N128,"Stale report",K128)))</f>
        <v>Verified student report</v>
      </c>
      <c r="P128" s="18" t="str">
        <f aca="false">IF(AND(H128="Yes",OR(I128="Available",I128="Low stock")),IF(O128="Stale report","Verify first","Yes"),"No")</f>
        <v>Yes</v>
      </c>
      <c r="Q128" s="18" t="str">
        <f aca="false">IF(H128="Yes","proposed_pending_approval","n/a")</f>
        <v>proposed_pending_approval</v>
      </c>
      <c r="R128" s="18" t="str">
        <f aca="false">IF(H128="Yes","Retail swipe (proposed) / RU Express / Cash or card","n/a")</f>
        <v>Retail swipe (proposed) / RU Express / Cash or card</v>
      </c>
      <c r="S128" s="21" t="str">
        <f aca="false">INDEX(Products!$I$2:$I$29,MATCH($E128,Products!$A$2:$A$29,0))</f>
        <v>1 package</v>
      </c>
      <c r="T128" s="18" t="n">
        <f aca="false">IF(H128="Yes",Config!$B$5,"")</f>
        <v>75</v>
      </c>
      <c r="U128" s="21" t="str">
        <f aca="false">INDEX(Products!$J$2:$J$29,MATCH($E128,Products!$A$2:$A$29,0))</f>
        <v>No</v>
      </c>
      <c r="V128" s="18" t="s">
        <v>394</v>
      </c>
    </row>
    <row r="129" customFormat="false" ht="15" hidden="false" customHeight="true" outlineLevel="0" collapsed="false">
      <c r="A129" s="18" t="s">
        <v>528</v>
      </c>
      <c r="B129" s="18" t="s">
        <v>165</v>
      </c>
      <c r="C129" s="21" t="str">
        <f aca="false">INDEX(Locations!$B$2:$B$9,MATCH($B129,Locations!$A$2:$A$9,0))</f>
        <v>Harvest Juice Bar</v>
      </c>
      <c r="D129" s="21" t="str">
        <f aca="false">INDEX(Locations!$C$2:$C$9,MATCH($B129,Locations!$A$2:$A$9,0))</f>
        <v>Busch</v>
      </c>
      <c r="E129" s="18" t="s">
        <v>299</v>
      </c>
      <c r="F129" s="21" t="str">
        <f aca="false">INDEX(Products!$B$2:$B$29,MATCH($E129,Products!$A$2:$A$29,0))</f>
        <v>Imodium A-D</v>
      </c>
      <c r="G129" s="21" t="str">
        <f aca="false">INDEX(Products!$C$2:$C$29,MATCH($E129,Products!$A$2:$A$29,0))</f>
        <v>Digestive</v>
      </c>
      <c r="H129" s="18" t="s">
        <v>212</v>
      </c>
      <c r="I129" s="18" t="s">
        <v>487</v>
      </c>
      <c r="J129" s="18" t="str">
        <f aca="false">IF(H129="No","-",IF(I129="Available","Good supply",IF(I129="Low stock","Few left",IF(I129="Out of stock","None",IF(I129="Temporarily unavailable","Unavailable","Unknown")))))</f>
        <v>-</v>
      </c>
      <c r="K129" s="18"/>
      <c r="L129" s="22"/>
      <c r="M129" s="18" t="str">
        <f aca="false">IF(L129="","",ROUND((Config!$B$2-L129)*1440,0))</f>
        <v/>
      </c>
      <c r="N129" s="18" t="str">
        <f aca="false">IF(K129="Staff verified",Config!$B$4,IF(OR(K129="Authorized student verified",K129="Multiple student reports",K129="Single student report"),Config!$B$3,""))</f>
        <v/>
      </c>
      <c r="O129" s="18" t="str">
        <f aca="false">IF(H129="No","n/a",IF(L129="","Unverified Data",IF(M129&gt;N129,"Stale report",K129)))</f>
        <v>n/a</v>
      </c>
      <c r="P129" s="18" t="str">
        <f aca="false">IF(AND(H129="Yes",OR(I129="Available",I129="Low stock")),IF(O129="Stale report","Verify first","Yes"),"No")</f>
        <v>No</v>
      </c>
      <c r="Q129" s="18" t="str">
        <f aca="false">IF(H129="Yes","proposed_pending_approval","n/a")</f>
        <v>n/a</v>
      </c>
      <c r="R129" s="18" t="str">
        <f aca="false">IF(H129="Yes","Retail swipe (proposed) / RU Express / Cash or card","n/a")</f>
        <v>n/a</v>
      </c>
      <c r="S129" s="21" t="str">
        <f aca="false">INDEX(Products!$I$2:$I$29,MATCH($E129,Products!$A$2:$A$29,0))</f>
        <v>1 package</v>
      </c>
      <c r="T129" s="18" t="str">
        <f aca="false">IF(H129="Yes",Config!$B$5,"")</f>
        <v/>
      </c>
      <c r="U129" s="21" t="str">
        <f aca="false">INDEX(Products!$J$2:$J$29,MATCH($E129,Products!$A$2:$A$29,0))</f>
        <v>No</v>
      </c>
      <c r="V129" s="18" t="s">
        <v>394</v>
      </c>
    </row>
    <row r="130" customFormat="false" ht="15" hidden="false" customHeight="true" outlineLevel="0" collapsed="false">
      <c r="A130" s="18" t="s">
        <v>529</v>
      </c>
      <c r="B130" s="18" t="s">
        <v>165</v>
      </c>
      <c r="C130" s="21" t="str">
        <f aca="false">INDEX(Locations!$B$2:$B$9,MATCH($B130,Locations!$A$2:$A$9,0))</f>
        <v>Harvest Juice Bar</v>
      </c>
      <c r="D130" s="21" t="str">
        <f aca="false">INDEX(Locations!$C$2:$C$9,MATCH($B130,Locations!$A$2:$A$9,0))</f>
        <v>Busch</v>
      </c>
      <c r="E130" s="18" t="s">
        <v>305</v>
      </c>
      <c r="F130" s="21" t="str">
        <f aca="false">INDEX(Products!$B$2:$B$29,MATCH($E130,Products!$A$2:$A$29,0))</f>
        <v>Pedialyte</v>
      </c>
      <c r="G130" s="21" t="str">
        <f aca="false">INDEX(Products!$C$2:$C$29,MATCH($E130,Products!$A$2:$A$29,0))</f>
        <v>Hydration</v>
      </c>
      <c r="H130" s="18" t="s">
        <v>123</v>
      </c>
      <c r="I130" s="18" t="s">
        <v>404</v>
      </c>
      <c r="J130" s="18" t="str">
        <f aca="false">IF(H130="No","-",IF(I130="Available","Good supply",IF(I130="Low stock","Few left",IF(I130="Out of stock","None",IF(I130="Temporarily unavailable","Unavailable","Unknown")))))</f>
        <v>Few left</v>
      </c>
      <c r="K130" s="18" t="s">
        <v>409</v>
      </c>
      <c r="L130" s="22"/>
      <c r="M130" s="18" t="str">
        <f aca="false">IF(L130="","",ROUND((Config!$B$2-L130)*1440,0))</f>
        <v/>
      </c>
      <c r="N130" s="18" t="str">
        <f aca="false">IF(K130="Staff verified",Config!$B$4,IF(OR(K130="Authorized student verified",K130="Multiple student reports",K130="Single student report"),Config!$B$3,""))</f>
        <v/>
      </c>
      <c r="O130" s="18" t="str">
        <f aca="false">IF(H130="No","n/a",IF(L130="","Unverified Data",IF(M130&gt;N130,"Stale report",K130)))</f>
        <v>Unverified Data</v>
      </c>
      <c r="P130" s="18" t="str">
        <f aca="false">IF(AND(H130="Yes",OR(I130="Available",I130="Low stock")),IF(O130="Stale report","Verify first","Yes"),"No")</f>
        <v>Yes</v>
      </c>
      <c r="Q130" s="18" t="str">
        <f aca="false">IF(H130="Yes","proposed_pending_approval","n/a")</f>
        <v>proposed_pending_approval</v>
      </c>
      <c r="R130" s="18" t="str">
        <f aca="false">IF(H130="Yes","Retail swipe (proposed) / RU Express / Cash or card","n/a")</f>
        <v>Retail swipe (proposed) / RU Express / Cash or card</v>
      </c>
      <c r="S130" s="21" t="str">
        <f aca="false">INDEX(Products!$I$2:$I$29,MATCH($E130,Products!$A$2:$A$29,0))</f>
        <v>2 bottles</v>
      </c>
      <c r="T130" s="18" t="n">
        <f aca="false">IF(H130="Yes",Config!$B$5,"")</f>
        <v>75</v>
      </c>
      <c r="U130" s="21" t="str">
        <f aca="false">INDEX(Products!$J$2:$J$29,MATCH($E130,Products!$A$2:$A$29,0))</f>
        <v>No</v>
      </c>
      <c r="V130" s="18" t="s">
        <v>394</v>
      </c>
    </row>
    <row r="131" customFormat="false" ht="15" hidden="false" customHeight="true" outlineLevel="0" collapsed="false">
      <c r="A131" s="18" t="s">
        <v>530</v>
      </c>
      <c r="B131" s="18" t="s">
        <v>165</v>
      </c>
      <c r="C131" s="21" t="str">
        <f aca="false">INDEX(Locations!$B$2:$B$9,MATCH($B131,Locations!$A$2:$A$9,0))</f>
        <v>Harvest Juice Bar</v>
      </c>
      <c r="D131" s="21" t="str">
        <f aca="false">INDEX(Locations!$C$2:$C$9,MATCH($B131,Locations!$A$2:$A$9,0))</f>
        <v>Busch</v>
      </c>
      <c r="E131" s="18" t="s">
        <v>312</v>
      </c>
      <c r="F131" s="21" t="str">
        <f aca="false">INDEX(Products!$B$2:$B$29,MATCH($E131,Products!$A$2:$A$29,0))</f>
        <v>Digital thermometer (brand varies)</v>
      </c>
      <c r="G131" s="21" t="str">
        <f aca="false">INDEX(Products!$C$2:$C$29,MATCH($E131,Products!$A$2:$A$29,0))</f>
        <v>Diagnostics</v>
      </c>
      <c r="H131" s="18" t="s">
        <v>123</v>
      </c>
      <c r="I131" s="18" t="s">
        <v>396</v>
      </c>
      <c r="J131" s="18" t="str">
        <f aca="false">IF(H131="No","-",IF(I131="Available","Good supply",IF(I131="Low stock","Few left",IF(I131="Out of stock","None",IF(I131="Temporarily unavailable","Unavailable","Unknown")))))</f>
        <v>None</v>
      </c>
      <c r="K131" s="18" t="s">
        <v>397</v>
      </c>
      <c r="L131" s="22" t="n">
        <v>46308.6076388889</v>
      </c>
      <c r="M131" s="18" t="n">
        <f aca="false">IF(L131="","",ROUND((Config!$B$2-L131)*1440,0))</f>
        <v>25</v>
      </c>
      <c r="N131" s="18" t="str">
        <f aca="false">IF(K131="Staff verified",Config!$B$4,IF(OR(K131="Authorized student verified",K131="Multiple student reports",K131="Single student report"),Config!$B$3,""))</f>
        <v/>
      </c>
      <c r="O131" s="18" t="str">
        <f aca="false">IF(H131="No","n/a",IF(L131="","Unverified Data",IF(M131&gt;N131,"Stale report",K131)))</f>
        <v>Verified student report</v>
      </c>
      <c r="P131" s="18" t="str">
        <f aca="false">IF(AND(H131="Yes",OR(I131="Available",I131="Low stock")),IF(O131="Stale report","Verify first","Yes"),"No")</f>
        <v>No</v>
      </c>
      <c r="Q131" s="18" t="str">
        <f aca="false">IF(H131="Yes","proposed_pending_approval","n/a")</f>
        <v>proposed_pending_approval</v>
      </c>
      <c r="R131" s="18" t="str">
        <f aca="false">IF(H131="Yes","Retail swipe (proposed) / RU Express / Cash or card","n/a")</f>
        <v>Retail swipe (proposed) / RU Express / Cash or card</v>
      </c>
      <c r="S131" s="21" t="str">
        <f aca="false">INDEX(Products!$I$2:$I$29,MATCH($E131,Products!$A$2:$A$29,0))</f>
        <v>1 unit</v>
      </c>
      <c r="T131" s="18" t="n">
        <f aca="false">IF(H131="Yes",Config!$B$5,"")</f>
        <v>75</v>
      </c>
      <c r="U131" s="21" t="str">
        <f aca="false">INDEX(Products!$J$2:$J$29,MATCH($E131,Products!$A$2:$A$29,0))</f>
        <v>No</v>
      </c>
      <c r="V131" s="18" t="s">
        <v>394</v>
      </c>
    </row>
    <row r="132" customFormat="false" ht="15" hidden="false" customHeight="true" outlineLevel="0" collapsed="false">
      <c r="A132" s="18" t="s">
        <v>531</v>
      </c>
      <c r="B132" s="18" t="s">
        <v>165</v>
      </c>
      <c r="C132" s="21" t="str">
        <f aca="false">INDEX(Locations!$B$2:$B$9,MATCH($B132,Locations!$A$2:$A$9,0))</f>
        <v>Harvest Juice Bar</v>
      </c>
      <c r="D132" s="21" t="str">
        <f aca="false">INDEX(Locations!$C$2:$C$9,MATCH($B132,Locations!$A$2:$A$9,0))</f>
        <v>Busch</v>
      </c>
      <c r="E132" s="18" t="s">
        <v>320</v>
      </c>
      <c r="F132" s="21" t="str">
        <f aca="false">INDEX(Products!$B$2:$B$29,MATCH($E132,Products!$A$2:$A$29,0))</f>
        <v>iHealth COVID-19 Antigen Rapid Test</v>
      </c>
      <c r="G132" s="21" t="str">
        <f aca="false">INDEX(Products!$C$2:$C$29,MATCH($E132,Products!$A$2:$A$29,0))</f>
        <v>Diagnostics</v>
      </c>
      <c r="H132" s="18" t="s">
        <v>212</v>
      </c>
      <c r="I132" s="18" t="s">
        <v>487</v>
      </c>
      <c r="J132" s="18" t="str">
        <f aca="false">IF(H132="No","-",IF(I132="Available","Good supply",IF(I132="Low stock","Few left",IF(I132="Out of stock","None",IF(I132="Temporarily unavailable","Unavailable","Unknown")))))</f>
        <v>-</v>
      </c>
      <c r="K132" s="18"/>
      <c r="L132" s="22"/>
      <c r="M132" s="18" t="str">
        <f aca="false">IF(L132="","",ROUND((Config!$B$2-L132)*1440,0))</f>
        <v/>
      </c>
      <c r="N132" s="18" t="str">
        <f aca="false">IF(K132="Staff verified",Config!$B$4,IF(OR(K132="Authorized student verified",K132="Multiple student reports",K132="Single student report"),Config!$B$3,""))</f>
        <v/>
      </c>
      <c r="O132" s="18" t="str">
        <f aca="false">IF(H132="No","n/a",IF(L132="","Unverified Data",IF(M132&gt;N132,"Stale report",K132)))</f>
        <v>n/a</v>
      </c>
      <c r="P132" s="18" t="str">
        <f aca="false">IF(AND(H132="Yes",OR(I132="Available",I132="Low stock")),IF(O132="Stale report","Verify first","Yes"),"No")</f>
        <v>No</v>
      </c>
      <c r="Q132" s="18" t="str">
        <f aca="false">IF(H132="Yes","proposed_pending_approval","n/a")</f>
        <v>n/a</v>
      </c>
      <c r="R132" s="18" t="str">
        <f aca="false">IF(H132="Yes","Retail swipe (proposed) / RU Express / Cash or card","n/a")</f>
        <v>n/a</v>
      </c>
      <c r="S132" s="21" t="str">
        <f aca="false">INDEX(Products!$I$2:$I$29,MATCH($E132,Products!$A$2:$A$29,0))</f>
        <v>1 kit</v>
      </c>
      <c r="T132" s="18" t="str">
        <f aca="false">IF(H132="Yes",Config!$B$5,"")</f>
        <v/>
      </c>
      <c r="U132" s="21" t="str">
        <f aca="false">INDEX(Products!$J$2:$J$29,MATCH($E132,Products!$A$2:$A$29,0))</f>
        <v>No</v>
      </c>
      <c r="V132" s="18" t="s">
        <v>394</v>
      </c>
    </row>
    <row r="133" customFormat="false" ht="15" hidden="false" customHeight="true" outlineLevel="0" collapsed="false">
      <c r="A133" s="18" t="s">
        <v>532</v>
      </c>
      <c r="B133" s="18" t="s">
        <v>165</v>
      </c>
      <c r="C133" s="21" t="str">
        <f aca="false">INDEX(Locations!$B$2:$B$9,MATCH($B133,Locations!$A$2:$A$9,0))</f>
        <v>Harvest Juice Bar</v>
      </c>
      <c r="D133" s="21" t="str">
        <f aca="false">INDEX(Locations!$C$2:$C$9,MATCH($B133,Locations!$A$2:$A$9,0))</f>
        <v>Busch</v>
      </c>
      <c r="E133" s="18" t="s">
        <v>327</v>
      </c>
      <c r="F133" s="21" t="str">
        <f aca="false">INDEX(Products!$B$2:$B$29,MATCH($E133,Products!$A$2:$A$29,0))</f>
        <v>Band-Aid Brand Adhesive Bandages</v>
      </c>
      <c r="G133" s="21" t="str">
        <f aca="false">INDEX(Products!$C$2:$C$29,MATCH($E133,Products!$A$2:$A$29,0))</f>
        <v>First aid &amp; comfort</v>
      </c>
      <c r="H133" s="18" t="s">
        <v>123</v>
      </c>
      <c r="I133" s="18" t="s">
        <v>392</v>
      </c>
      <c r="J133" s="18" t="str">
        <f aca="false">IF(H133="No","-",IF(I133="Available","Good supply",IF(I133="Low stock","Few left",IF(I133="Out of stock","None",IF(I133="Temporarily unavailable","Unavailable","Unknown")))))</f>
        <v>Good supply</v>
      </c>
      <c r="K133" s="18" t="s">
        <v>409</v>
      </c>
      <c r="L133" s="22"/>
      <c r="M133" s="18" t="str">
        <f aca="false">IF(L133="","",ROUND((Config!$B$2-L133)*1440,0))</f>
        <v/>
      </c>
      <c r="N133" s="18" t="str">
        <f aca="false">IF(K133="Staff verified",Config!$B$4,IF(OR(K133="Authorized student verified",K133="Multiple student reports",K133="Single student report"),Config!$B$3,""))</f>
        <v/>
      </c>
      <c r="O133" s="18" t="str">
        <f aca="false">IF(H133="No","n/a",IF(L133="","Unverified Data",IF(M133&gt;N133,"Stale report",K133)))</f>
        <v>Unverified Data</v>
      </c>
      <c r="P133" s="18" t="str">
        <f aca="false">IF(AND(H133="Yes",OR(I133="Available",I133="Low stock")),IF(O133="Stale report","Verify first","Yes"),"No")</f>
        <v>Yes</v>
      </c>
      <c r="Q133" s="18" t="str">
        <f aca="false">IF(H133="Yes","proposed_pending_approval","n/a")</f>
        <v>proposed_pending_approval</v>
      </c>
      <c r="R133" s="18" t="str">
        <f aca="false">IF(H133="Yes","Retail swipe (proposed) / RU Express / Cash or card","n/a")</f>
        <v>Retail swipe (proposed) / RU Express / Cash or card</v>
      </c>
      <c r="S133" s="21" t="str">
        <f aca="false">INDEX(Products!$I$2:$I$29,MATCH($E133,Products!$A$2:$A$29,0))</f>
        <v>1 box</v>
      </c>
      <c r="T133" s="18" t="n">
        <f aca="false">IF(H133="Yes",Config!$B$5,"")</f>
        <v>75</v>
      </c>
      <c r="U133" s="21" t="str">
        <f aca="false">INDEX(Products!$J$2:$J$29,MATCH($E133,Products!$A$2:$A$29,0))</f>
        <v>No</v>
      </c>
      <c r="V133" s="18" t="s">
        <v>394</v>
      </c>
    </row>
    <row r="134" customFormat="false" ht="15" hidden="false" customHeight="true" outlineLevel="0" collapsed="false">
      <c r="A134" s="18" t="s">
        <v>533</v>
      </c>
      <c r="B134" s="18" t="s">
        <v>165</v>
      </c>
      <c r="C134" s="21" t="str">
        <f aca="false">INDEX(Locations!$B$2:$B$9,MATCH($B134,Locations!$A$2:$A$9,0))</f>
        <v>Harvest Juice Bar</v>
      </c>
      <c r="D134" s="21" t="str">
        <f aca="false">INDEX(Locations!$C$2:$C$9,MATCH($B134,Locations!$A$2:$A$9,0))</f>
        <v>Busch</v>
      </c>
      <c r="E134" s="18" t="s">
        <v>333</v>
      </c>
      <c r="F134" s="21" t="str">
        <f aca="false">INDEX(Products!$B$2:$B$29,MATCH($E134,Products!$A$2:$A$29,0))</f>
        <v>Johnson &amp; Johnson First Aid To Go Kit</v>
      </c>
      <c r="G134" s="21" t="str">
        <f aca="false">INDEX(Products!$C$2:$C$29,MATCH($E134,Products!$A$2:$A$29,0))</f>
        <v>First aid &amp; comfort</v>
      </c>
      <c r="H134" s="18" t="s">
        <v>212</v>
      </c>
      <c r="I134" s="18" t="s">
        <v>487</v>
      </c>
      <c r="J134" s="18" t="str">
        <f aca="false">IF(H134="No","-",IF(I134="Available","Good supply",IF(I134="Low stock","Few left",IF(I134="Out of stock","None",IF(I134="Temporarily unavailable","Unavailable","Unknown")))))</f>
        <v>-</v>
      </c>
      <c r="K134" s="18"/>
      <c r="L134" s="22"/>
      <c r="M134" s="18" t="str">
        <f aca="false">IF(L134="","",ROUND((Config!$B$2-L134)*1440,0))</f>
        <v/>
      </c>
      <c r="N134" s="18" t="str">
        <f aca="false">IF(K134="Staff verified",Config!$B$4,IF(OR(K134="Authorized student verified",K134="Multiple student reports",K134="Single student report"),Config!$B$3,""))</f>
        <v/>
      </c>
      <c r="O134" s="18" t="str">
        <f aca="false">IF(H134="No","n/a",IF(L134="","Unverified Data",IF(M134&gt;N134,"Stale report",K134)))</f>
        <v>n/a</v>
      </c>
      <c r="P134" s="18" t="str">
        <f aca="false">IF(AND(H134="Yes",OR(I134="Available",I134="Low stock")),IF(O134="Stale report","Verify first","Yes"),"No")</f>
        <v>No</v>
      </c>
      <c r="Q134" s="18" t="str">
        <f aca="false">IF(H134="Yes","proposed_pending_approval","n/a")</f>
        <v>n/a</v>
      </c>
      <c r="R134" s="18" t="str">
        <f aca="false">IF(H134="Yes","Retail swipe (proposed) / RU Express / Cash or card","n/a")</f>
        <v>n/a</v>
      </c>
      <c r="S134" s="21" t="str">
        <f aca="false">INDEX(Products!$I$2:$I$29,MATCH($E134,Products!$A$2:$A$29,0))</f>
        <v>1 kit</v>
      </c>
      <c r="T134" s="18" t="str">
        <f aca="false">IF(H134="Yes",Config!$B$5,"")</f>
        <v/>
      </c>
      <c r="U134" s="21" t="str">
        <f aca="false">INDEX(Products!$J$2:$J$29,MATCH($E134,Products!$A$2:$A$29,0))</f>
        <v>No</v>
      </c>
      <c r="V134" s="18" t="s">
        <v>394</v>
      </c>
    </row>
    <row r="135" customFormat="false" ht="15" hidden="false" customHeight="true" outlineLevel="0" collapsed="false">
      <c r="A135" s="18" t="s">
        <v>534</v>
      </c>
      <c r="B135" s="18" t="s">
        <v>165</v>
      </c>
      <c r="C135" s="21" t="str">
        <f aca="false">INDEX(Locations!$B$2:$B$9,MATCH($B135,Locations!$A$2:$A$9,0))</f>
        <v>Harvest Juice Bar</v>
      </c>
      <c r="D135" s="21" t="str">
        <f aca="false">INDEX(Locations!$C$2:$C$9,MATCH($B135,Locations!$A$2:$A$9,0))</f>
        <v>Busch</v>
      </c>
      <c r="E135" s="18" t="s">
        <v>338</v>
      </c>
      <c r="F135" s="21" t="str">
        <f aca="false">INDEX(Products!$B$2:$B$29,MATCH($E135,Products!$A$2:$A$29,0))</f>
        <v>Neosporin Original Ointment</v>
      </c>
      <c r="G135" s="21" t="str">
        <f aca="false">INDEX(Products!$C$2:$C$29,MATCH($E135,Products!$A$2:$A$29,0))</f>
        <v>First aid &amp; comfort</v>
      </c>
      <c r="H135" s="18" t="s">
        <v>212</v>
      </c>
      <c r="I135" s="18" t="s">
        <v>487</v>
      </c>
      <c r="J135" s="18" t="str">
        <f aca="false">IF(H135="No","-",IF(I135="Available","Good supply",IF(I135="Low stock","Few left",IF(I135="Out of stock","None",IF(I135="Temporarily unavailable","Unavailable","Unknown")))))</f>
        <v>-</v>
      </c>
      <c r="K135" s="18"/>
      <c r="L135" s="22"/>
      <c r="M135" s="18" t="str">
        <f aca="false">IF(L135="","",ROUND((Config!$B$2-L135)*1440,0))</f>
        <v/>
      </c>
      <c r="N135" s="18" t="str">
        <f aca="false">IF(K135="Staff verified",Config!$B$4,IF(OR(K135="Authorized student verified",K135="Multiple student reports",K135="Single student report"),Config!$B$3,""))</f>
        <v/>
      </c>
      <c r="O135" s="18" t="str">
        <f aca="false">IF(H135="No","n/a",IF(L135="","Unverified Data",IF(M135&gt;N135,"Stale report",K135)))</f>
        <v>n/a</v>
      </c>
      <c r="P135" s="18" t="str">
        <f aca="false">IF(AND(H135="Yes",OR(I135="Available",I135="Low stock")),IF(O135="Stale report","Verify first","Yes"),"No")</f>
        <v>No</v>
      </c>
      <c r="Q135" s="18" t="str">
        <f aca="false">IF(H135="Yes","proposed_pending_approval","n/a")</f>
        <v>n/a</v>
      </c>
      <c r="R135" s="18" t="str">
        <f aca="false">IF(H135="Yes","Retail swipe (proposed) / RU Express / Cash or card","n/a")</f>
        <v>n/a</v>
      </c>
      <c r="S135" s="21" t="str">
        <f aca="false">INDEX(Products!$I$2:$I$29,MATCH($E135,Products!$A$2:$A$29,0))</f>
        <v>1 tube</v>
      </c>
      <c r="T135" s="18" t="str">
        <f aca="false">IF(H135="Yes",Config!$B$5,"")</f>
        <v/>
      </c>
      <c r="U135" s="21" t="str">
        <f aca="false">INDEX(Products!$J$2:$J$29,MATCH($E135,Products!$A$2:$A$29,0))</f>
        <v>No</v>
      </c>
      <c r="V135" s="18" t="s">
        <v>394</v>
      </c>
    </row>
    <row r="136" customFormat="false" ht="15" hidden="false" customHeight="true" outlineLevel="0" collapsed="false">
      <c r="A136" s="18" t="s">
        <v>535</v>
      </c>
      <c r="B136" s="18" t="s">
        <v>165</v>
      </c>
      <c r="C136" s="21" t="str">
        <f aca="false">INDEX(Locations!$B$2:$B$9,MATCH($B136,Locations!$A$2:$A$9,0))</f>
        <v>Harvest Juice Bar</v>
      </c>
      <c r="D136" s="21" t="str">
        <f aca="false">INDEX(Locations!$C$2:$C$9,MATCH($B136,Locations!$A$2:$A$9,0))</f>
        <v>Busch</v>
      </c>
      <c r="E136" s="18" t="s">
        <v>345</v>
      </c>
      <c r="F136" s="21" t="str">
        <f aca="false">INDEX(Products!$B$2:$B$29,MATCH($E136,Products!$A$2:$A$29,0))</f>
        <v>Instant cold pack (brand varies)</v>
      </c>
      <c r="G136" s="21" t="str">
        <f aca="false">INDEX(Products!$C$2:$C$29,MATCH($E136,Products!$A$2:$A$29,0))</f>
        <v>First aid &amp; comfort</v>
      </c>
      <c r="H136" s="18" t="s">
        <v>212</v>
      </c>
      <c r="I136" s="18" t="s">
        <v>487</v>
      </c>
      <c r="J136" s="18" t="str">
        <f aca="false">IF(H136="No","-",IF(I136="Available","Good supply",IF(I136="Low stock","Few left",IF(I136="Out of stock","None",IF(I136="Temporarily unavailable","Unavailable","Unknown")))))</f>
        <v>-</v>
      </c>
      <c r="K136" s="18"/>
      <c r="L136" s="22"/>
      <c r="M136" s="18" t="str">
        <f aca="false">IF(L136="","",ROUND((Config!$B$2-L136)*1440,0))</f>
        <v/>
      </c>
      <c r="N136" s="18" t="str">
        <f aca="false">IF(K136="Staff verified",Config!$B$4,IF(OR(K136="Authorized student verified",K136="Multiple student reports",K136="Single student report"),Config!$B$3,""))</f>
        <v/>
      </c>
      <c r="O136" s="18" t="str">
        <f aca="false">IF(H136="No","n/a",IF(L136="","Unverified Data",IF(M136&gt;N136,"Stale report",K136)))</f>
        <v>n/a</v>
      </c>
      <c r="P136" s="18" t="str">
        <f aca="false">IF(AND(H136="Yes",OR(I136="Available",I136="Low stock")),IF(O136="Stale report","Verify first","Yes"),"No")</f>
        <v>No</v>
      </c>
      <c r="Q136" s="18" t="str">
        <f aca="false">IF(H136="Yes","proposed_pending_approval","n/a")</f>
        <v>n/a</v>
      </c>
      <c r="R136" s="18" t="str">
        <f aca="false">IF(H136="Yes","Retail swipe (proposed) / RU Express / Cash or card","n/a")</f>
        <v>n/a</v>
      </c>
      <c r="S136" s="21" t="str">
        <f aca="false">INDEX(Products!$I$2:$I$29,MATCH($E136,Products!$A$2:$A$29,0))</f>
        <v>1 pack</v>
      </c>
      <c r="T136" s="18" t="str">
        <f aca="false">IF(H136="Yes",Config!$B$5,"")</f>
        <v/>
      </c>
      <c r="U136" s="21" t="str">
        <f aca="false">INDEX(Products!$J$2:$J$29,MATCH($E136,Products!$A$2:$A$29,0))</f>
        <v>No</v>
      </c>
      <c r="V136" s="18" t="s">
        <v>394</v>
      </c>
    </row>
    <row r="137" customFormat="false" ht="15" hidden="false" customHeight="true" outlineLevel="0" collapsed="false">
      <c r="A137" s="18" t="s">
        <v>536</v>
      </c>
      <c r="B137" s="18" t="s">
        <v>165</v>
      </c>
      <c r="C137" s="21" t="str">
        <f aca="false">INDEX(Locations!$B$2:$B$9,MATCH($B137,Locations!$A$2:$A$9,0))</f>
        <v>Harvest Juice Bar</v>
      </c>
      <c r="D137" s="21" t="str">
        <f aca="false">INDEX(Locations!$C$2:$C$9,MATCH($B137,Locations!$A$2:$A$9,0))</f>
        <v>Busch</v>
      </c>
      <c r="E137" s="18" t="s">
        <v>351</v>
      </c>
      <c r="F137" s="21" t="str">
        <f aca="false">INDEX(Products!$B$2:$B$29,MATCH($E137,Products!$A$2:$A$29,0))</f>
        <v>ThermaCare Heat Wrap</v>
      </c>
      <c r="G137" s="21" t="str">
        <f aca="false">INDEX(Products!$C$2:$C$29,MATCH($E137,Products!$A$2:$A$29,0))</f>
        <v>First aid &amp; comfort</v>
      </c>
      <c r="H137" s="18" t="s">
        <v>212</v>
      </c>
      <c r="I137" s="18" t="s">
        <v>487</v>
      </c>
      <c r="J137" s="18" t="str">
        <f aca="false">IF(H137="No","-",IF(I137="Available","Good supply",IF(I137="Low stock","Few left",IF(I137="Out of stock","None",IF(I137="Temporarily unavailable","Unavailable","Unknown")))))</f>
        <v>-</v>
      </c>
      <c r="K137" s="18"/>
      <c r="L137" s="22"/>
      <c r="M137" s="18" t="str">
        <f aca="false">IF(L137="","",ROUND((Config!$B$2-L137)*1440,0))</f>
        <v/>
      </c>
      <c r="N137" s="18" t="str">
        <f aca="false">IF(K137="Staff verified",Config!$B$4,IF(OR(K137="Authorized student verified",K137="Multiple student reports",K137="Single student report"),Config!$B$3,""))</f>
        <v/>
      </c>
      <c r="O137" s="18" t="str">
        <f aca="false">IF(H137="No","n/a",IF(L137="","Unverified Data",IF(M137&gt;N137,"Stale report",K137)))</f>
        <v>n/a</v>
      </c>
      <c r="P137" s="18" t="str">
        <f aca="false">IF(AND(H137="Yes",OR(I137="Available",I137="Low stock")),IF(O137="Stale report","Verify first","Yes"),"No")</f>
        <v>No</v>
      </c>
      <c r="Q137" s="18" t="str">
        <f aca="false">IF(H137="Yes","proposed_pending_approval","n/a")</f>
        <v>n/a</v>
      </c>
      <c r="R137" s="18" t="str">
        <f aca="false">IF(H137="Yes","Retail swipe (proposed) / RU Express / Cash or card","n/a")</f>
        <v>n/a</v>
      </c>
      <c r="S137" s="21" t="str">
        <f aca="false">INDEX(Products!$I$2:$I$29,MATCH($E137,Products!$A$2:$A$29,0))</f>
        <v>1 package</v>
      </c>
      <c r="T137" s="18" t="str">
        <f aca="false">IF(H137="Yes",Config!$B$5,"")</f>
        <v/>
      </c>
      <c r="U137" s="21" t="str">
        <f aca="false">INDEX(Products!$J$2:$J$29,MATCH($E137,Products!$A$2:$A$29,0))</f>
        <v>No</v>
      </c>
      <c r="V137" s="18" t="s">
        <v>394</v>
      </c>
    </row>
    <row r="138" customFormat="false" ht="15" hidden="false" customHeight="true" outlineLevel="0" collapsed="false">
      <c r="A138" s="18" t="s">
        <v>537</v>
      </c>
      <c r="B138" s="18" t="s">
        <v>165</v>
      </c>
      <c r="C138" s="21" t="str">
        <f aca="false">INDEX(Locations!$B$2:$B$9,MATCH($B138,Locations!$A$2:$A$9,0))</f>
        <v>Harvest Juice Bar</v>
      </c>
      <c r="D138" s="21" t="str">
        <f aca="false">INDEX(Locations!$C$2:$C$9,MATCH($B138,Locations!$A$2:$A$9,0))</f>
        <v>Busch</v>
      </c>
      <c r="E138" s="18" t="s">
        <v>356</v>
      </c>
      <c r="F138" s="21" t="str">
        <f aca="false">INDEX(Products!$B$2:$B$29,MATCH($E138,Products!$A$2:$A$29,0))</f>
        <v>Always Ultra Thin Pads</v>
      </c>
      <c r="G138" s="21" t="str">
        <f aca="false">INDEX(Products!$C$2:$C$29,MATCH($E138,Products!$A$2:$A$29,0))</f>
        <v>Menstrual &amp; hygiene</v>
      </c>
      <c r="H138" s="18" t="s">
        <v>123</v>
      </c>
      <c r="I138" s="18" t="s">
        <v>392</v>
      </c>
      <c r="J138" s="18" t="str">
        <f aca="false">IF(H138="No","-",IF(I138="Available","Good supply",IF(I138="Low stock","Few left",IF(I138="Out of stock","None",IF(I138="Temporarily unavailable","Unavailable","Unknown")))))</f>
        <v>Good supply</v>
      </c>
      <c r="K138" s="18" t="s">
        <v>397</v>
      </c>
      <c r="L138" s="22" t="n">
        <v>46308.5923611111</v>
      </c>
      <c r="M138" s="18" t="n">
        <f aca="false">IF(L138="","",ROUND((Config!$B$2-L138)*1440,0))</f>
        <v>47</v>
      </c>
      <c r="N138" s="18" t="str">
        <f aca="false">IF(K138="Staff verified",Config!$B$4,IF(OR(K138="Authorized student verified",K138="Multiple student reports",K138="Single student report"),Config!$B$3,""))</f>
        <v/>
      </c>
      <c r="O138" s="18" t="str">
        <f aca="false">IF(H138="No","n/a",IF(L138="","Unverified Data",IF(M138&gt;N138,"Stale report",K138)))</f>
        <v>Verified student report</v>
      </c>
      <c r="P138" s="18" t="str">
        <f aca="false">IF(AND(H138="Yes",OR(I138="Available",I138="Low stock")),IF(O138="Stale report","Verify first","Yes"),"No")</f>
        <v>Yes</v>
      </c>
      <c r="Q138" s="18" t="str">
        <f aca="false">IF(H138="Yes","proposed_pending_approval","n/a")</f>
        <v>proposed_pending_approval</v>
      </c>
      <c r="R138" s="18" t="str">
        <f aca="false">IF(H138="Yes","Retail swipe (proposed) / RU Express / Cash or card","n/a")</f>
        <v>Retail swipe (proposed) / RU Express / Cash or card</v>
      </c>
      <c r="S138" s="21" t="str">
        <f aca="false">INDEX(Products!$I$2:$I$29,MATCH($E138,Products!$A$2:$A$29,0))</f>
        <v>1 package</v>
      </c>
      <c r="T138" s="18" t="n">
        <f aca="false">IF(H138="Yes",Config!$B$5,"")</f>
        <v>75</v>
      </c>
      <c r="U138" s="21" t="str">
        <f aca="false">INDEX(Products!$J$2:$J$29,MATCH($E138,Products!$A$2:$A$29,0))</f>
        <v>No</v>
      </c>
      <c r="V138" s="18" t="s">
        <v>394</v>
      </c>
    </row>
    <row r="139" customFormat="false" ht="15" hidden="false" customHeight="true" outlineLevel="0" collapsed="false">
      <c r="A139" s="18" t="s">
        <v>538</v>
      </c>
      <c r="B139" s="18" t="s">
        <v>165</v>
      </c>
      <c r="C139" s="21" t="str">
        <f aca="false">INDEX(Locations!$B$2:$B$9,MATCH($B139,Locations!$A$2:$A$9,0))</f>
        <v>Harvest Juice Bar</v>
      </c>
      <c r="D139" s="21" t="str">
        <f aca="false">INDEX(Locations!$C$2:$C$9,MATCH($B139,Locations!$A$2:$A$9,0))</f>
        <v>Busch</v>
      </c>
      <c r="E139" s="18" t="s">
        <v>363</v>
      </c>
      <c r="F139" s="21" t="str">
        <f aca="false">INDEX(Products!$B$2:$B$29,MATCH($E139,Products!$A$2:$A$29,0))</f>
        <v>Tampax Pearl Tampons</v>
      </c>
      <c r="G139" s="21" t="str">
        <f aca="false">INDEX(Products!$C$2:$C$29,MATCH($E139,Products!$A$2:$A$29,0))</f>
        <v>Menstrual &amp; hygiene</v>
      </c>
      <c r="H139" s="18" t="s">
        <v>123</v>
      </c>
      <c r="I139" s="18" t="s">
        <v>396</v>
      </c>
      <c r="J139" s="18" t="str">
        <f aca="false">IF(H139="No","-",IF(I139="Available","Good supply",IF(I139="Low stock","Few left",IF(I139="Out of stock","None",IF(I139="Temporarily unavailable","Unavailable","Unknown")))))</f>
        <v>None</v>
      </c>
      <c r="K139" s="18" t="s">
        <v>397</v>
      </c>
      <c r="L139" s="22" t="n">
        <v>46308.4284722222</v>
      </c>
      <c r="M139" s="18" t="n">
        <f aca="false">IF(L139="","",ROUND((Config!$B$2-L139)*1440,0))</f>
        <v>283</v>
      </c>
      <c r="N139" s="18" t="str">
        <f aca="false">IF(K139="Staff verified",Config!$B$4,IF(OR(K139="Authorized student verified",K139="Multiple student reports",K139="Single student report"),Config!$B$3,""))</f>
        <v/>
      </c>
      <c r="O139" s="18" t="str">
        <f aca="false">IF(H139="No","n/a",IF(L139="","Unverified Data",IF(M139&gt;N139,"Stale report",K139)))</f>
        <v>Verified student report</v>
      </c>
      <c r="P139" s="18" t="str">
        <f aca="false">IF(AND(H139="Yes",OR(I139="Available",I139="Low stock")),IF(O139="Stale report","Verify first","Yes"),"No")</f>
        <v>No</v>
      </c>
      <c r="Q139" s="18" t="str">
        <f aca="false">IF(H139="Yes","proposed_pending_approval","n/a")</f>
        <v>proposed_pending_approval</v>
      </c>
      <c r="R139" s="18" t="str">
        <f aca="false">IF(H139="Yes","Retail swipe (proposed) / RU Express / Cash or card","n/a")</f>
        <v>Retail swipe (proposed) / RU Express / Cash or card</v>
      </c>
      <c r="S139" s="21" t="str">
        <f aca="false">INDEX(Products!$I$2:$I$29,MATCH($E139,Products!$A$2:$A$29,0))</f>
        <v>1 package</v>
      </c>
      <c r="T139" s="18" t="n">
        <f aca="false">IF(H139="Yes",Config!$B$5,"")</f>
        <v>75</v>
      </c>
      <c r="U139" s="21" t="str">
        <f aca="false">INDEX(Products!$J$2:$J$29,MATCH($E139,Products!$A$2:$A$29,0))</f>
        <v>No</v>
      </c>
      <c r="V139" s="18" t="s">
        <v>394</v>
      </c>
    </row>
    <row r="140" customFormat="false" ht="15" hidden="false" customHeight="true" outlineLevel="0" collapsed="false">
      <c r="A140" s="18" t="s">
        <v>539</v>
      </c>
      <c r="B140" s="18" t="s">
        <v>165</v>
      </c>
      <c r="C140" s="21" t="str">
        <f aca="false">INDEX(Locations!$B$2:$B$9,MATCH($B140,Locations!$A$2:$A$9,0))</f>
        <v>Harvest Juice Bar</v>
      </c>
      <c r="D140" s="21" t="str">
        <f aca="false">INDEX(Locations!$C$2:$C$9,MATCH($B140,Locations!$A$2:$A$9,0))</f>
        <v>Busch</v>
      </c>
      <c r="E140" s="18" t="s">
        <v>368</v>
      </c>
      <c r="F140" s="21" t="str">
        <f aca="false">INDEX(Products!$B$2:$B$29,MATCH($E140,Products!$A$2:$A$29,0))</f>
        <v>Purell Advanced Hand Sanitizer</v>
      </c>
      <c r="G140" s="21" t="str">
        <f aca="false">INDEX(Products!$C$2:$C$29,MATCH($E140,Products!$A$2:$A$29,0))</f>
        <v>Menstrual &amp; hygiene</v>
      </c>
      <c r="H140" s="18" t="s">
        <v>212</v>
      </c>
      <c r="I140" s="18" t="s">
        <v>487</v>
      </c>
      <c r="J140" s="18" t="str">
        <f aca="false">IF(H140="No","-",IF(I140="Available","Good supply",IF(I140="Low stock","Few left",IF(I140="Out of stock","None",IF(I140="Temporarily unavailable","Unavailable","Unknown")))))</f>
        <v>-</v>
      </c>
      <c r="K140" s="18"/>
      <c r="L140" s="22"/>
      <c r="M140" s="18" t="str">
        <f aca="false">IF(L140="","",ROUND((Config!$B$2-L140)*1440,0))</f>
        <v/>
      </c>
      <c r="N140" s="18" t="str">
        <f aca="false">IF(K140="Staff verified",Config!$B$4,IF(OR(K140="Authorized student verified",K140="Multiple student reports",K140="Single student report"),Config!$B$3,""))</f>
        <v/>
      </c>
      <c r="O140" s="18" t="str">
        <f aca="false">IF(H140="No","n/a",IF(L140="","Unverified Data",IF(M140&gt;N140,"Stale report",K140)))</f>
        <v>n/a</v>
      </c>
      <c r="P140" s="18" t="str">
        <f aca="false">IF(AND(H140="Yes",OR(I140="Available",I140="Low stock")),IF(O140="Stale report","Verify first","Yes"),"No")</f>
        <v>No</v>
      </c>
      <c r="Q140" s="18" t="str">
        <f aca="false">IF(H140="Yes","proposed_pending_approval","n/a")</f>
        <v>n/a</v>
      </c>
      <c r="R140" s="18" t="str">
        <f aca="false">IF(H140="Yes","Retail swipe (proposed) / RU Express / Cash or card","n/a")</f>
        <v>n/a</v>
      </c>
      <c r="S140" s="21" t="str">
        <f aca="false">INDEX(Products!$I$2:$I$29,MATCH($E140,Products!$A$2:$A$29,0))</f>
        <v>1 bottle</v>
      </c>
      <c r="T140" s="18" t="str">
        <f aca="false">IF(H140="Yes",Config!$B$5,"")</f>
        <v/>
      </c>
      <c r="U140" s="21" t="str">
        <f aca="false">INDEX(Products!$J$2:$J$29,MATCH($E140,Products!$A$2:$A$29,0))</f>
        <v>No</v>
      </c>
      <c r="V140" s="18" t="s">
        <v>394</v>
      </c>
    </row>
    <row r="141" customFormat="false" ht="15" hidden="false" customHeight="true" outlineLevel="0" collapsed="false">
      <c r="A141" s="18" t="s">
        <v>540</v>
      </c>
      <c r="B141" s="18" t="s">
        <v>165</v>
      </c>
      <c r="C141" s="21" t="str">
        <f aca="false">INDEX(Locations!$B$2:$B$9,MATCH($B141,Locations!$A$2:$A$9,0))</f>
        <v>Harvest Juice Bar</v>
      </c>
      <c r="D141" s="21" t="str">
        <f aca="false">INDEX(Locations!$C$2:$C$9,MATCH($B141,Locations!$A$2:$A$9,0))</f>
        <v>Busch</v>
      </c>
      <c r="E141" s="18" t="s">
        <v>374</v>
      </c>
      <c r="F141" s="21" t="str">
        <f aca="false">INDEX(Products!$B$2:$B$29,MATCH($E141,Products!$A$2:$A$29,0))</f>
        <v>Disposable face masks (brand varies)</v>
      </c>
      <c r="G141" s="21" t="str">
        <f aca="false">INDEX(Products!$C$2:$C$29,MATCH($E141,Products!$A$2:$A$29,0))</f>
        <v>Menstrual &amp; hygiene</v>
      </c>
      <c r="H141" s="18" t="s">
        <v>212</v>
      </c>
      <c r="I141" s="18" t="s">
        <v>487</v>
      </c>
      <c r="J141" s="18" t="str">
        <f aca="false">IF(H141="No","-",IF(I141="Available","Good supply",IF(I141="Low stock","Few left",IF(I141="Out of stock","None",IF(I141="Temporarily unavailable","Unavailable","Unknown")))))</f>
        <v>-</v>
      </c>
      <c r="K141" s="18"/>
      <c r="L141" s="22"/>
      <c r="M141" s="18" t="str">
        <f aca="false">IF(L141="","",ROUND((Config!$B$2-L141)*1440,0))</f>
        <v/>
      </c>
      <c r="N141" s="18" t="str">
        <f aca="false">IF(K141="Staff verified",Config!$B$4,IF(OR(K141="Authorized student verified",K141="Multiple student reports",K141="Single student report"),Config!$B$3,""))</f>
        <v/>
      </c>
      <c r="O141" s="18" t="str">
        <f aca="false">IF(H141="No","n/a",IF(L141="","Unverified Data",IF(M141&gt;N141,"Stale report",K141)))</f>
        <v>n/a</v>
      </c>
      <c r="P141" s="18" t="str">
        <f aca="false">IF(AND(H141="Yes",OR(I141="Available",I141="Low stock")),IF(O141="Stale report","Verify first","Yes"),"No")</f>
        <v>No</v>
      </c>
      <c r="Q141" s="18" t="str">
        <f aca="false">IF(H141="Yes","proposed_pending_approval","n/a")</f>
        <v>n/a</v>
      </c>
      <c r="R141" s="18" t="str">
        <f aca="false">IF(H141="Yes","Retail swipe (proposed) / RU Express / Cash or card","n/a")</f>
        <v>n/a</v>
      </c>
      <c r="S141" s="21" t="str">
        <f aca="false">INDEX(Products!$I$2:$I$29,MATCH($E141,Products!$A$2:$A$29,0))</f>
        <v>1 pack</v>
      </c>
      <c r="T141" s="18" t="str">
        <f aca="false">IF(H141="Yes",Config!$B$5,"")</f>
        <v/>
      </c>
      <c r="U141" s="21" t="str">
        <f aca="false">INDEX(Products!$J$2:$J$29,MATCH($E141,Products!$A$2:$A$29,0))</f>
        <v>No</v>
      </c>
      <c r="V141" s="18" t="s">
        <v>394</v>
      </c>
    </row>
    <row r="142" customFormat="false" ht="15" hidden="false" customHeight="true" outlineLevel="0" collapsed="false">
      <c r="A142" s="18" t="s">
        <v>541</v>
      </c>
      <c r="B142" s="18" t="s">
        <v>173</v>
      </c>
      <c r="C142" s="21" t="str">
        <f aca="false">INDEX(Locations!$B$2:$B$9,MATCH($B142,Locations!$A$2:$A$9,0))</f>
        <v>Woody's Cafe</v>
      </c>
      <c r="D142" s="21" t="str">
        <f aca="false">INDEX(Locations!$C$2:$C$9,MATCH($B142,Locations!$A$2:$A$9,0))</f>
        <v>Busch</v>
      </c>
      <c r="E142" s="18" t="s">
        <v>204</v>
      </c>
      <c r="F142" s="21" t="str">
        <f aca="false">INDEX(Products!$B$2:$B$29,MATCH($E142,Products!$A$2:$A$29,0))</f>
        <v>Tylenol Extra Strength</v>
      </c>
      <c r="G142" s="21" t="str">
        <f aca="false">INDEX(Products!$C$2:$C$29,MATCH($E142,Products!$A$2:$A$29,0))</f>
        <v>Pain &amp; fever</v>
      </c>
      <c r="H142" s="18" t="s">
        <v>123</v>
      </c>
      <c r="I142" s="18" t="s">
        <v>392</v>
      </c>
      <c r="J142" s="18" t="str">
        <f aca="false">IF(H142="No","-",IF(I142="Available","Good supply",IF(I142="Low stock","Few left",IF(I142="Out of stock","None",IF(I142="Temporarily unavailable","Unavailable","Unknown")))))</f>
        <v>Good supply</v>
      </c>
      <c r="K142" s="18" t="s">
        <v>409</v>
      </c>
      <c r="L142" s="22"/>
      <c r="M142" s="18" t="str">
        <f aca="false">IF(L142="","",ROUND((Config!$B$2-L142)*1440,0))</f>
        <v/>
      </c>
      <c r="N142" s="18" t="str">
        <f aca="false">IF(K142="Staff verified",Config!$B$4,IF(OR(K142="Authorized student verified",K142="Multiple student reports",K142="Single student report"),Config!$B$3,""))</f>
        <v/>
      </c>
      <c r="O142" s="18" t="str">
        <f aca="false">IF(H142="No","n/a",IF(L142="","Unverified Data",IF(M142&gt;N142,"Stale report",K142)))</f>
        <v>Unverified Data</v>
      </c>
      <c r="P142" s="18" t="str">
        <f aca="false">IF(AND(H142="Yes",OR(I142="Available",I142="Low stock")),IF(O142="Stale report","Verify first","Yes"),"No")</f>
        <v>Yes</v>
      </c>
      <c r="Q142" s="18" t="str">
        <f aca="false">IF(H142="Yes","proposed_pending_approval","n/a")</f>
        <v>proposed_pending_approval</v>
      </c>
      <c r="R142" s="18" t="str">
        <f aca="false">IF(H142="Yes","Retail swipe (proposed) / RU Express / Cash or card","n/a")</f>
        <v>Retail swipe (proposed) / RU Express / Cash or card</v>
      </c>
      <c r="S142" s="21" t="str">
        <f aca="false">INDEX(Products!$I$2:$I$29,MATCH($E142,Products!$A$2:$A$29,0))</f>
        <v>1 package</v>
      </c>
      <c r="T142" s="18" t="n">
        <f aca="false">IF(H142="Yes",Config!$B$5,"")</f>
        <v>75</v>
      </c>
      <c r="U142" s="21" t="str">
        <f aca="false">INDEX(Products!$J$2:$J$29,MATCH($E142,Products!$A$2:$A$29,0))</f>
        <v>No</v>
      </c>
      <c r="V142" s="18" t="s">
        <v>394</v>
      </c>
    </row>
    <row r="143" customFormat="false" ht="15" hidden="false" customHeight="true" outlineLevel="0" collapsed="false">
      <c r="A143" s="18" t="s">
        <v>542</v>
      </c>
      <c r="B143" s="18" t="s">
        <v>173</v>
      </c>
      <c r="C143" s="21" t="str">
        <f aca="false">INDEX(Locations!$B$2:$B$9,MATCH($B143,Locations!$A$2:$A$9,0))</f>
        <v>Woody's Cafe</v>
      </c>
      <c r="D143" s="21" t="str">
        <f aca="false">INDEX(Locations!$C$2:$C$9,MATCH($B143,Locations!$A$2:$A$9,0))</f>
        <v>Busch</v>
      </c>
      <c r="E143" s="18" t="s">
        <v>215</v>
      </c>
      <c r="F143" s="21" t="str">
        <f aca="false">INDEX(Products!$B$2:$B$29,MATCH($E143,Products!$A$2:$A$29,0))</f>
        <v>Advil</v>
      </c>
      <c r="G143" s="21" t="str">
        <f aca="false">INDEX(Products!$C$2:$C$29,MATCH($E143,Products!$A$2:$A$29,0))</f>
        <v>Pain &amp; fever</v>
      </c>
      <c r="H143" s="18" t="s">
        <v>123</v>
      </c>
      <c r="I143" s="18" t="s">
        <v>396</v>
      </c>
      <c r="J143" s="18" t="str">
        <f aca="false">IF(H143="No","-",IF(I143="Available","Good supply",IF(I143="Low stock","Few left",IF(I143="Out of stock","None",IF(I143="Temporarily unavailable","Unavailable","Unknown")))))</f>
        <v>None</v>
      </c>
      <c r="K143" s="18" t="s">
        <v>397</v>
      </c>
      <c r="L143" s="22" t="n">
        <v>46308.5902777778</v>
      </c>
      <c r="M143" s="18" t="n">
        <f aca="false">IF(L143="","",ROUND((Config!$B$2-L143)*1440,0))</f>
        <v>50</v>
      </c>
      <c r="N143" s="18" t="str">
        <f aca="false">IF(K143="Staff verified",Config!$B$4,IF(OR(K143="Authorized student verified",K143="Multiple student reports",K143="Single student report"),Config!$B$3,""))</f>
        <v/>
      </c>
      <c r="O143" s="18" t="str">
        <f aca="false">IF(H143="No","n/a",IF(L143="","Unverified Data",IF(M143&gt;N143,"Stale report",K143)))</f>
        <v>Verified student report</v>
      </c>
      <c r="P143" s="18" t="str">
        <f aca="false">IF(AND(H143="Yes",OR(I143="Available",I143="Low stock")),IF(O143="Stale report","Verify first","Yes"),"No")</f>
        <v>No</v>
      </c>
      <c r="Q143" s="18" t="str">
        <f aca="false">IF(H143="Yes","proposed_pending_approval","n/a")</f>
        <v>proposed_pending_approval</v>
      </c>
      <c r="R143" s="18" t="str">
        <f aca="false">IF(H143="Yes","Retail swipe (proposed) / RU Express / Cash or card","n/a")</f>
        <v>Retail swipe (proposed) / RU Express / Cash or card</v>
      </c>
      <c r="S143" s="21" t="str">
        <f aca="false">INDEX(Products!$I$2:$I$29,MATCH($E143,Products!$A$2:$A$29,0))</f>
        <v>1 package</v>
      </c>
      <c r="T143" s="18" t="n">
        <f aca="false">IF(H143="Yes",Config!$B$5,"")</f>
        <v>75</v>
      </c>
      <c r="U143" s="21" t="str">
        <f aca="false">INDEX(Products!$J$2:$J$29,MATCH($E143,Products!$A$2:$A$29,0))</f>
        <v>No</v>
      </c>
      <c r="V143" s="18" t="s">
        <v>394</v>
      </c>
    </row>
    <row r="144" customFormat="false" ht="15" hidden="false" customHeight="true" outlineLevel="0" collapsed="false">
      <c r="A144" s="18" t="s">
        <v>543</v>
      </c>
      <c r="B144" s="18" t="s">
        <v>173</v>
      </c>
      <c r="C144" s="21" t="str">
        <f aca="false">INDEX(Locations!$B$2:$B$9,MATCH($B144,Locations!$A$2:$A$9,0))</f>
        <v>Woody's Cafe</v>
      </c>
      <c r="D144" s="21" t="str">
        <f aca="false">INDEX(Locations!$C$2:$C$9,MATCH($B144,Locations!$A$2:$A$9,0))</f>
        <v>Busch</v>
      </c>
      <c r="E144" s="18" t="s">
        <v>220</v>
      </c>
      <c r="F144" s="21" t="str">
        <f aca="false">INDEX(Products!$B$2:$B$29,MATCH($E144,Products!$A$2:$A$29,0))</f>
        <v>Aleve</v>
      </c>
      <c r="G144" s="21" t="str">
        <f aca="false">INDEX(Products!$C$2:$C$29,MATCH($E144,Products!$A$2:$A$29,0))</f>
        <v>Pain &amp; fever</v>
      </c>
      <c r="H144" s="18" t="s">
        <v>212</v>
      </c>
      <c r="I144" s="18" t="s">
        <v>487</v>
      </c>
      <c r="J144" s="18" t="str">
        <f aca="false">IF(H144="No","-",IF(I144="Available","Good supply",IF(I144="Low stock","Few left",IF(I144="Out of stock","None",IF(I144="Temporarily unavailable","Unavailable","Unknown")))))</f>
        <v>-</v>
      </c>
      <c r="K144" s="18"/>
      <c r="L144" s="22"/>
      <c r="M144" s="18" t="str">
        <f aca="false">IF(L144="","",ROUND((Config!$B$2-L144)*1440,0))</f>
        <v/>
      </c>
      <c r="N144" s="18" t="str">
        <f aca="false">IF(K144="Staff verified",Config!$B$4,IF(OR(K144="Authorized student verified",K144="Multiple student reports",K144="Single student report"),Config!$B$3,""))</f>
        <v/>
      </c>
      <c r="O144" s="18" t="str">
        <f aca="false">IF(H144="No","n/a",IF(L144="","Unverified Data",IF(M144&gt;N144,"Stale report",K144)))</f>
        <v>n/a</v>
      </c>
      <c r="P144" s="18" t="str">
        <f aca="false">IF(AND(H144="Yes",OR(I144="Available",I144="Low stock")),IF(O144="Stale report","Verify first","Yes"),"No")</f>
        <v>No</v>
      </c>
      <c r="Q144" s="18" t="str">
        <f aca="false">IF(H144="Yes","proposed_pending_approval","n/a")</f>
        <v>n/a</v>
      </c>
      <c r="R144" s="18" t="str">
        <f aca="false">IF(H144="Yes","Retail swipe (proposed) / RU Express / Cash or card","n/a")</f>
        <v>n/a</v>
      </c>
      <c r="S144" s="21" t="str">
        <f aca="false">INDEX(Products!$I$2:$I$29,MATCH($E144,Products!$A$2:$A$29,0))</f>
        <v>1 package</v>
      </c>
      <c r="T144" s="18" t="str">
        <f aca="false">IF(H144="Yes",Config!$B$5,"")</f>
        <v/>
      </c>
      <c r="U144" s="21" t="str">
        <f aca="false">INDEX(Products!$J$2:$J$29,MATCH($E144,Products!$A$2:$A$29,0))</f>
        <v>No</v>
      </c>
      <c r="V144" s="18" t="s">
        <v>394</v>
      </c>
    </row>
    <row r="145" customFormat="false" ht="15" hidden="false" customHeight="true" outlineLevel="0" collapsed="false">
      <c r="A145" s="18" t="s">
        <v>544</v>
      </c>
      <c r="B145" s="18" t="s">
        <v>173</v>
      </c>
      <c r="C145" s="21" t="str">
        <f aca="false">INDEX(Locations!$B$2:$B$9,MATCH($B145,Locations!$A$2:$A$9,0))</f>
        <v>Woody's Cafe</v>
      </c>
      <c r="D145" s="21" t="str">
        <f aca="false">INDEX(Locations!$C$2:$C$9,MATCH($B145,Locations!$A$2:$A$9,0))</f>
        <v>Busch</v>
      </c>
      <c r="E145" s="18" t="s">
        <v>226</v>
      </c>
      <c r="F145" s="21" t="str">
        <f aca="false">INDEX(Products!$B$2:$B$29,MATCH($E145,Products!$A$2:$A$29,0))</f>
        <v>Excedrin Migraine</v>
      </c>
      <c r="G145" s="21" t="str">
        <f aca="false">INDEX(Products!$C$2:$C$29,MATCH($E145,Products!$A$2:$A$29,0))</f>
        <v>Pain &amp; fever</v>
      </c>
      <c r="H145" s="18" t="s">
        <v>212</v>
      </c>
      <c r="I145" s="18" t="s">
        <v>487</v>
      </c>
      <c r="J145" s="18" t="str">
        <f aca="false">IF(H145="No","-",IF(I145="Available","Good supply",IF(I145="Low stock","Few left",IF(I145="Out of stock","None",IF(I145="Temporarily unavailable","Unavailable","Unknown")))))</f>
        <v>-</v>
      </c>
      <c r="K145" s="18"/>
      <c r="L145" s="22"/>
      <c r="M145" s="18" t="str">
        <f aca="false">IF(L145="","",ROUND((Config!$B$2-L145)*1440,0))</f>
        <v/>
      </c>
      <c r="N145" s="18" t="str">
        <f aca="false">IF(K145="Staff verified",Config!$B$4,IF(OR(K145="Authorized student verified",K145="Multiple student reports",K145="Single student report"),Config!$B$3,""))</f>
        <v/>
      </c>
      <c r="O145" s="18" t="str">
        <f aca="false">IF(H145="No","n/a",IF(L145="","Unverified Data",IF(M145&gt;N145,"Stale report",K145)))</f>
        <v>n/a</v>
      </c>
      <c r="P145" s="18" t="str">
        <f aca="false">IF(AND(H145="Yes",OR(I145="Available",I145="Low stock")),IF(O145="Stale report","Verify first","Yes"),"No")</f>
        <v>No</v>
      </c>
      <c r="Q145" s="18" t="str">
        <f aca="false">IF(H145="Yes","proposed_pending_approval","n/a")</f>
        <v>n/a</v>
      </c>
      <c r="R145" s="18" t="str">
        <f aca="false">IF(H145="Yes","Retail swipe (proposed) / RU Express / Cash or card","n/a")</f>
        <v>n/a</v>
      </c>
      <c r="S145" s="21" t="str">
        <f aca="false">INDEX(Products!$I$2:$I$29,MATCH($E145,Products!$A$2:$A$29,0))</f>
        <v>1 package</v>
      </c>
      <c r="T145" s="18" t="str">
        <f aca="false">IF(H145="Yes",Config!$B$5,"")</f>
        <v/>
      </c>
      <c r="U145" s="21" t="str">
        <f aca="false">INDEX(Products!$J$2:$J$29,MATCH($E145,Products!$A$2:$A$29,0))</f>
        <v>No</v>
      </c>
      <c r="V145" s="18" t="s">
        <v>394</v>
      </c>
    </row>
    <row r="146" customFormat="false" ht="15" hidden="false" customHeight="true" outlineLevel="0" collapsed="false">
      <c r="A146" s="18" t="s">
        <v>545</v>
      </c>
      <c r="B146" s="18" t="s">
        <v>173</v>
      </c>
      <c r="C146" s="21" t="str">
        <f aca="false">INDEX(Locations!$B$2:$B$9,MATCH($B146,Locations!$A$2:$A$9,0))</f>
        <v>Woody's Cafe</v>
      </c>
      <c r="D146" s="21" t="str">
        <f aca="false">INDEX(Locations!$C$2:$C$9,MATCH($B146,Locations!$A$2:$A$9,0))</f>
        <v>Busch</v>
      </c>
      <c r="E146" s="18" t="s">
        <v>232</v>
      </c>
      <c r="F146" s="21" t="str">
        <f aca="false">INDEX(Products!$B$2:$B$29,MATCH($E146,Products!$A$2:$A$29,0))</f>
        <v>Halls Mentho-Lyptus</v>
      </c>
      <c r="G146" s="21" t="str">
        <f aca="false">INDEX(Products!$C$2:$C$29,MATCH($E146,Products!$A$2:$A$29,0))</f>
        <v>Cold &amp; cough</v>
      </c>
      <c r="H146" s="18" t="s">
        <v>123</v>
      </c>
      <c r="I146" s="18" t="s">
        <v>413</v>
      </c>
      <c r="J146" s="18" t="str">
        <f aca="false">IF(H146="No","-",IF(I146="Available","Good supply",IF(I146="Low stock","Few left",IF(I146="Out of stock","None",IF(I146="Temporarily unavailable","Unavailable","Unknown")))))</f>
        <v>Unknown</v>
      </c>
      <c r="K146" s="18" t="s">
        <v>409</v>
      </c>
      <c r="L146" s="22"/>
      <c r="M146" s="18" t="str">
        <f aca="false">IF(L146="","",ROUND((Config!$B$2-L146)*1440,0))</f>
        <v/>
      </c>
      <c r="N146" s="18" t="str">
        <f aca="false">IF(K146="Staff verified",Config!$B$4,IF(OR(K146="Authorized student verified",K146="Multiple student reports",K146="Single student report"),Config!$B$3,""))</f>
        <v/>
      </c>
      <c r="O146" s="18" t="str">
        <f aca="false">IF(H146="No","n/a",IF(L146="","Unverified Data",IF(M146&gt;N146,"Stale report",K146)))</f>
        <v>Unverified Data</v>
      </c>
      <c r="P146" s="18" t="str">
        <f aca="false">IF(AND(H146="Yes",OR(I146="Available",I146="Low stock")),IF(O146="Stale report","Verify first","Yes"),"No")</f>
        <v>No</v>
      </c>
      <c r="Q146" s="18" t="str">
        <f aca="false">IF(H146="Yes","proposed_pending_approval","n/a")</f>
        <v>proposed_pending_approval</v>
      </c>
      <c r="R146" s="18" t="str">
        <f aca="false">IF(H146="Yes","Retail swipe (proposed) / RU Express / Cash or card","n/a")</f>
        <v>Retail swipe (proposed) / RU Express / Cash or card</v>
      </c>
      <c r="S146" s="21" t="str">
        <f aca="false">INDEX(Products!$I$2:$I$29,MATCH($E146,Products!$A$2:$A$29,0))</f>
        <v>2 bags</v>
      </c>
      <c r="T146" s="18" t="n">
        <f aca="false">IF(H146="Yes",Config!$B$5,"")</f>
        <v>75</v>
      </c>
      <c r="U146" s="21" t="str">
        <f aca="false">INDEX(Products!$J$2:$J$29,MATCH($E146,Products!$A$2:$A$29,0))</f>
        <v>No</v>
      </c>
      <c r="V146" s="18" t="s">
        <v>394</v>
      </c>
    </row>
    <row r="147" customFormat="false" ht="15" hidden="false" customHeight="true" outlineLevel="0" collapsed="false">
      <c r="A147" s="18" t="s">
        <v>546</v>
      </c>
      <c r="B147" s="18" t="s">
        <v>173</v>
      </c>
      <c r="C147" s="21" t="str">
        <f aca="false">INDEX(Locations!$B$2:$B$9,MATCH($B147,Locations!$A$2:$A$9,0))</f>
        <v>Woody's Cafe</v>
      </c>
      <c r="D147" s="21" t="str">
        <f aca="false">INDEX(Locations!$C$2:$C$9,MATCH($B147,Locations!$A$2:$A$9,0))</f>
        <v>Busch</v>
      </c>
      <c r="E147" s="18" t="s">
        <v>240</v>
      </c>
      <c r="F147" s="21" t="str">
        <f aca="false">INDEX(Products!$B$2:$B$29,MATCH($E147,Products!$A$2:$A$29,0))</f>
        <v>Ricola Original Natural Herb</v>
      </c>
      <c r="G147" s="21" t="str">
        <f aca="false">INDEX(Products!$C$2:$C$29,MATCH($E147,Products!$A$2:$A$29,0))</f>
        <v>Cold &amp; cough</v>
      </c>
      <c r="H147" s="18" t="s">
        <v>212</v>
      </c>
      <c r="I147" s="18" t="s">
        <v>487</v>
      </c>
      <c r="J147" s="18" t="str">
        <f aca="false">IF(H147="No","-",IF(I147="Available","Good supply",IF(I147="Low stock","Few left",IF(I147="Out of stock","None",IF(I147="Temporarily unavailable","Unavailable","Unknown")))))</f>
        <v>-</v>
      </c>
      <c r="K147" s="18"/>
      <c r="L147" s="22"/>
      <c r="M147" s="18" t="str">
        <f aca="false">IF(L147="","",ROUND((Config!$B$2-L147)*1440,0))</f>
        <v/>
      </c>
      <c r="N147" s="18" t="str">
        <f aca="false">IF(K147="Staff verified",Config!$B$4,IF(OR(K147="Authorized student verified",K147="Multiple student reports",K147="Single student report"),Config!$B$3,""))</f>
        <v/>
      </c>
      <c r="O147" s="18" t="str">
        <f aca="false">IF(H147="No","n/a",IF(L147="","Unverified Data",IF(M147&gt;N147,"Stale report",K147)))</f>
        <v>n/a</v>
      </c>
      <c r="P147" s="18" t="str">
        <f aca="false">IF(AND(H147="Yes",OR(I147="Available",I147="Low stock")),IF(O147="Stale report","Verify first","Yes"),"No")</f>
        <v>No</v>
      </c>
      <c r="Q147" s="18" t="str">
        <f aca="false">IF(H147="Yes","proposed_pending_approval","n/a")</f>
        <v>n/a</v>
      </c>
      <c r="R147" s="18" t="str">
        <f aca="false">IF(H147="Yes","Retail swipe (proposed) / RU Express / Cash or card","n/a")</f>
        <v>n/a</v>
      </c>
      <c r="S147" s="21" t="str">
        <f aca="false">INDEX(Products!$I$2:$I$29,MATCH($E147,Products!$A$2:$A$29,0))</f>
        <v>2 bags</v>
      </c>
      <c r="T147" s="18" t="str">
        <f aca="false">IF(H147="Yes",Config!$B$5,"")</f>
        <v/>
      </c>
      <c r="U147" s="21" t="str">
        <f aca="false">INDEX(Products!$J$2:$J$29,MATCH($E147,Products!$A$2:$A$29,0))</f>
        <v>No</v>
      </c>
      <c r="V147" s="18" t="s">
        <v>394</v>
      </c>
    </row>
    <row r="148" customFormat="false" ht="15" hidden="false" customHeight="true" outlineLevel="0" collapsed="false">
      <c r="A148" s="18" t="s">
        <v>547</v>
      </c>
      <c r="B148" s="18" t="s">
        <v>173</v>
      </c>
      <c r="C148" s="21" t="str">
        <f aca="false">INDEX(Locations!$B$2:$B$9,MATCH($B148,Locations!$A$2:$A$9,0))</f>
        <v>Woody's Cafe</v>
      </c>
      <c r="D148" s="21" t="str">
        <f aca="false">INDEX(Locations!$C$2:$C$9,MATCH($B148,Locations!$A$2:$A$9,0))</f>
        <v>Busch</v>
      </c>
      <c r="E148" s="18" t="s">
        <v>245</v>
      </c>
      <c r="F148" s="21" t="str">
        <f aca="false">INDEX(Products!$B$2:$B$29,MATCH($E148,Products!$A$2:$A$29,0))</f>
        <v>Chloraseptic Sore Throat Spray</v>
      </c>
      <c r="G148" s="21" t="str">
        <f aca="false">INDEX(Products!$C$2:$C$29,MATCH($E148,Products!$A$2:$A$29,0))</f>
        <v>Cold &amp; cough</v>
      </c>
      <c r="H148" s="18" t="s">
        <v>212</v>
      </c>
      <c r="I148" s="18" t="s">
        <v>487</v>
      </c>
      <c r="J148" s="18" t="str">
        <f aca="false">IF(H148="No","-",IF(I148="Available","Good supply",IF(I148="Low stock","Few left",IF(I148="Out of stock","None",IF(I148="Temporarily unavailable","Unavailable","Unknown")))))</f>
        <v>-</v>
      </c>
      <c r="K148" s="18"/>
      <c r="L148" s="22"/>
      <c r="M148" s="18" t="str">
        <f aca="false">IF(L148="","",ROUND((Config!$B$2-L148)*1440,0))</f>
        <v/>
      </c>
      <c r="N148" s="18" t="str">
        <f aca="false">IF(K148="Staff verified",Config!$B$4,IF(OR(K148="Authorized student verified",K148="Multiple student reports",K148="Single student report"),Config!$B$3,""))</f>
        <v/>
      </c>
      <c r="O148" s="18" t="str">
        <f aca="false">IF(H148="No","n/a",IF(L148="","Unverified Data",IF(M148&gt;N148,"Stale report",K148)))</f>
        <v>n/a</v>
      </c>
      <c r="P148" s="18" t="str">
        <f aca="false">IF(AND(H148="Yes",OR(I148="Available",I148="Low stock")),IF(O148="Stale report","Verify first","Yes"),"No")</f>
        <v>No</v>
      </c>
      <c r="Q148" s="18" t="str">
        <f aca="false">IF(H148="Yes","proposed_pending_approval","n/a")</f>
        <v>n/a</v>
      </c>
      <c r="R148" s="18" t="str">
        <f aca="false">IF(H148="Yes","Retail swipe (proposed) / RU Express / Cash or card","n/a")</f>
        <v>n/a</v>
      </c>
      <c r="S148" s="21" t="str">
        <f aca="false">INDEX(Products!$I$2:$I$29,MATCH($E148,Products!$A$2:$A$29,0))</f>
        <v>1 bottle</v>
      </c>
      <c r="T148" s="18" t="str">
        <f aca="false">IF(H148="Yes",Config!$B$5,"")</f>
        <v/>
      </c>
      <c r="U148" s="21" t="str">
        <f aca="false">INDEX(Products!$J$2:$J$29,MATCH($E148,Products!$A$2:$A$29,0))</f>
        <v>No</v>
      </c>
      <c r="V148" s="18" t="s">
        <v>394</v>
      </c>
    </row>
    <row r="149" customFormat="false" ht="15" hidden="false" customHeight="true" outlineLevel="0" collapsed="false">
      <c r="A149" s="18" t="s">
        <v>548</v>
      </c>
      <c r="B149" s="18" t="s">
        <v>173</v>
      </c>
      <c r="C149" s="21" t="str">
        <f aca="false">INDEX(Locations!$B$2:$B$9,MATCH($B149,Locations!$A$2:$A$9,0))</f>
        <v>Woody's Cafe</v>
      </c>
      <c r="D149" s="21" t="str">
        <f aca="false">INDEX(Locations!$C$2:$C$9,MATCH($B149,Locations!$A$2:$A$9,0))</f>
        <v>Busch</v>
      </c>
      <c r="E149" s="18" t="s">
        <v>251</v>
      </c>
      <c r="F149" s="21" t="str">
        <f aca="false">INDEX(Products!$B$2:$B$29,MATCH($E149,Products!$A$2:$A$29,0))</f>
        <v>Mucinex</v>
      </c>
      <c r="G149" s="21" t="str">
        <f aca="false">INDEX(Products!$C$2:$C$29,MATCH($E149,Products!$A$2:$A$29,0))</f>
        <v>Cold &amp; cough</v>
      </c>
      <c r="H149" s="18" t="s">
        <v>123</v>
      </c>
      <c r="I149" s="18" t="s">
        <v>392</v>
      </c>
      <c r="J149" s="18" t="str">
        <f aca="false">IF(H149="No","-",IF(I149="Available","Good supply",IF(I149="Low stock","Few left",IF(I149="Out of stock","None",IF(I149="Temporarily unavailable","Unavailable","Unknown")))))</f>
        <v>Good supply</v>
      </c>
      <c r="K149" s="18" t="s">
        <v>397</v>
      </c>
      <c r="L149" s="22" t="n">
        <v>46308.5590277778</v>
      </c>
      <c r="M149" s="18" t="n">
        <f aca="false">IF(L149="","",ROUND((Config!$B$2-L149)*1440,0))</f>
        <v>95</v>
      </c>
      <c r="N149" s="18" t="str">
        <f aca="false">IF(K149="Staff verified",Config!$B$4,IF(OR(K149="Authorized student verified",K149="Multiple student reports",K149="Single student report"),Config!$B$3,""))</f>
        <v/>
      </c>
      <c r="O149" s="18" t="str">
        <f aca="false">IF(H149="No","n/a",IF(L149="","Unverified Data",IF(M149&gt;N149,"Stale report",K149)))</f>
        <v>Verified student report</v>
      </c>
      <c r="P149" s="18" t="str">
        <f aca="false">IF(AND(H149="Yes",OR(I149="Available",I149="Low stock")),IF(O149="Stale report","Verify first","Yes"),"No")</f>
        <v>Yes</v>
      </c>
      <c r="Q149" s="18" t="str">
        <f aca="false">IF(H149="Yes","proposed_pending_approval","n/a")</f>
        <v>proposed_pending_approval</v>
      </c>
      <c r="R149" s="18" t="str">
        <f aca="false">IF(H149="Yes","Retail swipe (proposed) / RU Express / Cash or card","n/a")</f>
        <v>Retail swipe (proposed) / RU Express / Cash or card</v>
      </c>
      <c r="S149" s="21" t="str">
        <f aca="false">INDEX(Products!$I$2:$I$29,MATCH($E149,Products!$A$2:$A$29,0))</f>
        <v>1 package</v>
      </c>
      <c r="T149" s="18" t="n">
        <f aca="false">IF(H149="Yes",Config!$B$5,"")</f>
        <v>75</v>
      </c>
      <c r="U149" s="21" t="str">
        <f aca="false">INDEX(Products!$J$2:$J$29,MATCH($E149,Products!$A$2:$A$29,0))</f>
        <v>No</v>
      </c>
      <c r="V149" s="18" t="s">
        <v>394</v>
      </c>
    </row>
    <row r="150" customFormat="false" ht="15" hidden="false" customHeight="true" outlineLevel="0" collapsed="false">
      <c r="A150" s="18" t="s">
        <v>549</v>
      </c>
      <c r="B150" s="18" t="s">
        <v>173</v>
      </c>
      <c r="C150" s="21" t="str">
        <f aca="false">INDEX(Locations!$B$2:$B$9,MATCH($B150,Locations!$A$2:$A$9,0))</f>
        <v>Woody's Cafe</v>
      </c>
      <c r="D150" s="21" t="str">
        <f aca="false">INDEX(Locations!$C$2:$C$9,MATCH($B150,Locations!$A$2:$A$9,0))</f>
        <v>Busch</v>
      </c>
      <c r="E150" s="18" t="s">
        <v>257</v>
      </c>
      <c r="F150" s="21" t="str">
        <f aca="false">INDEX(Products!$B$2:$B$29,MATCH($E150,Products!$A$2:$A$29,0))</f>
        <v>Robitussin DM</v>
      </c>
      <c r="G150" s="21" t="str">
        <f aca="false">INDEX(Products!$C$2:$C$29,MATCH($E150,Products!$A$2:$A$29,0))</f>
        <v>Cold &amp; cough</v>
      </c>
      <c r="H150" s="18" t="s">
        <v>212</v>
      </c>
      <c r="I150" s="18" t="s">
        <v>487</v>
      </c>
      <c r="J150" s="18" t="str">
        <f aca="false">IF(H150="No","-",IF(I150="Available","Good supply",IF(I150="Low stock","Few left",IF(I150="Out of stock","None",IF(I150="Temporarily unavailable","Unavailable","Unknown")))))</f>
        <v>-</v>
      </c>
      <c r="K150" s="18"/>
      <c r="L150" s="22"/>
      <c r="M150" s="18" t="str">
        <f aca="false">IF(L150="","",ROUND((Config!$B$2-L150)*1440,0))</f>
        <v/>
      </c>
      <c r="N150" s="18" t="str">
        <f aca="false">IF(K150="Staff verified",Config!$B$4,IF(OR(K150="Authorized student verified",K150="Multiple student reports",K150="Single student report"),Config!$B$3,""))</f>
        <v/>
      </c>
      <c r="O150" s="18" t="str">
        <f aca="false">IF(H150="No","n/a",IF(L150="","Unverified Data",IF(M150&gt;N150,"Stale report",K150)))</f>
        <v>n/a</v>
      </c>
      <c r="P150" s="18" t="str">
        <f aca="false">IF(AND(H150="Yes",OR(I150="Available",I150="Low stock")),IF(O150="Stale report","Verify first","Yes"),"No")</f>
        <v>No</v>
      </c>
      <c r="Q150" s="18" t="str">
        <f aca="false">IF(H150="Yes","proposed_pending_approval","n/a")</f>
        <v>n/a</v>
      </c>
      <c r="R150" s="18" t="str">
        <f aca="false">IF(H150="Yes","Retail swipe (proposed) / RU Express / Cash or card","n/a")</f>
        <v>n/a</v>
      </c>
      <c r="S150" s="21" t="str">
        <f aca="false">INDEX(Products!$I$2:$I$29,MATCH($E150,Products!$A$2:$A$29,0))</f>
        <v>1 bottle</v>
      </c>
      <c r="T150" s="18" t="str">
        <f aca="false">IF(H150="Yes",Config!$B$5,"")</f>
        <v/>
      </c>
      <c r="U150" s="21" t="str">
        <f aca="false">INDEX(Products!$J$2:$J$29,MATCH($E150,Products!$A$2:$A$29,0))</f>
        <v>No</v>
      </c>
      <c r="V150" s="18" t="s">
        <v>394</v>
      </c>
    </row>
    <row r="151" customFormat="false" ht="15" hidden="false" customHeight="true" outlineLevel="0" collapsed="false">
      <c r="A151" s="18" t="s">
        <v>550</v>
      </c>
      <c r="B151" s="18" t="s">
        <v>173</v>
      </c>
      <c r="C151" s="21" t="str">
        <f aca="false">INDEX(Locations!$B$2:$B$9,MATCH($B151,Locations!$A$2:$A$9,0))</f>
        <v>Woody's Cafe</v>
      </c>
      <c r="D151" s="21" t="str">
        <f aca="false">INDEX(Locations!$C$2:$C$9,MATCH($B151,Locations!$A$2:$A$9,0))</f>
        <v>Busch</v>
      </c>
      <c r="E151" s="18" t="s">
        <v>263</v>
      </c>
      <c r="F151" s="21" t="str">
        <f aca="false">INDEX(Products!$B$2:$B$29,MATCH($E151,Products!$A$2:$A$29,0))</f>
        <v>Simply Saline Nasal Mist</v>
      </c>
      <c r="G151" s="21" t="str">
        <f aca="false">INDEX(Products!$C$2:$C$29,MATCH($E151,Products!$A$2:$A$29,0))</f>
        <v>Cold &amp; cough</v>
      </c>
      <c r="H151" s="18" t="s">
        <v>212</v>
      </c>
      <c r="I151" s="18" t="s">
        <v>487</v>
      </c>
      <c r="J151" s="18" t="str">
        <f aca="false">IF(H151="No","-",IF(I151="Available","Good supply",IF(I151="Low stock","Few left",IF(I151="Out of stock","None",IF(I151="Temporarily unavailable","Unavailable","Unknown")))))</f>
        <v>-</v>
      </c>
      <c r="K151" s="18"/>
      <c r="L151" s="22"/>
      <c r="M151" s="18" t="str">
        <f aca="false">IF(L151="","",ROUND((Config!$B$2-L151)*1440,0))</f>
        <v/>
      </c>
      <c r="N151" s="18" t="str">
        <f aca="false">IF(K151="Staff verified",Config!$B$4,IF(OR(K151="Authorized student verified",K151="Multiple student reports",K151="Single student report"),Config!$B$3,""))</f>
        <v/>
      </c>
      <c r="O151" s="18" t="str">
        <f aca="false">IF(H151="No","n/a",IF(L151="","Unverified Data",IF(M151&gt;N151,"Stale report",K151)))</f>
        <v>n/a</v>
      </c>
      <c r="P151" s="18" t="str">
        <f aca="false">IF(AND(H151="Yes",OR(I151="Available",I151="Low stock")),IF(O151="Stale report","Verify first","Yes"),"No")</f>
        <v>No</v>
      </c>
      <c r="Q151" s="18" t="str">
        <f aca="false">IF(H151="Yes","proposed_pending_approval","n/a")</f>
        <v>n/a</v>
      </c>
      <c r="R151" s="18" t="str">
        <f aca="false">IF(H151="Yes","Retail swipe (proposed) / RU Express / Cash or card","n/a")</f>
        <v>n/a</v>
      </c>
      <c r="S151" s="21" t="str">
        <f aca="false">INDEX(Products!$I$2:$I$29,MATCH($E151,Products!$A$2:$A$29,0))</f>
        <v>1 bottle</v>
      </c>
      <c r="T151" s="18" t="str">
        <f aca="false">IF(H151="Yes",Config!$B$5,"")</f>
        <v/>
      </c>
      <c r="U151" s="21" t="str">
        <f aca="false">INDEX(Products!$J$2:$J$29,MATCH($E151,Products!$A$2:$A$29,0))</f>
        <v>No</v>
      </c>
      <c r="V151" s="18" t="s">
        <v>394</v>
      </c>
    </row>
    <row r="152" customFormat="false" ht="15" hidden="false" customHeight="true" outlineLevel="0" collapsed="false">
      <c r="A152" s="18" t="s">
        <v>551</v>
      </c>
      <c r="B152" s="18" t="s">
        <v>173</v>
      </c>
      <c r="C152" s="21" t="str">
        <f aca="false">INDEX(Locations!$B$2:$B$9,MATCH($B152,Locations!$A$2:$A$9,0))</f>
        <v>Woody's Cafe</v>
      </c>
      <c r="D152" s="21" t="str">
        <f aca="false">INDEX(Locations!$C$2:$C$9,MATCH($B152,Locations!$A$2:$A$9,0))</f>
        <v>Busch</v>
      </c>
      <c r="E152" s="18" t="s">
        <v>268</v>
      </c>
      <c r="F152" s="21" t="str">
        <f aca="false">INDEX(Products!$B$2:$B$29,MATCH($E152,Products!$A$2:$A$29,0))</f>
        <v>Claritin</v>
      </c>
      <c r="G152" s="21" t="str">
        <f aca="false">INDEX(Products!$C$2:$C$29,MATCH($E152,Products!$A$2:$A$29,0))</f>
        <v>Allergy</v>
      </c>
      <c r="H152" s="18" t="s">
        <v>123</v>
      </c>
      <c r="I152" s="18" t="s">
        <v>392</v>
      </c>
      <c r="J152" s="18" t="str">
        <f aca="false">IF(H152="No","-",IF(I152="Available","Good supply",IF(I152="Low stock","Few left",IF(I152="Out of stock","None",IF(I152="Temporarily unavailable","Unavailable","Unknown")))))</f>
        <v>Good supply</v>
      </c>
      <c r="K152" s="18" t="s">
        <v>393</v>
      </c>
      <c r="L152" s="22" t="n">
        <v>46308.5791666667</v>
      </c>
      <c r="M152" s="18" t="n">
        <f aca="false">IF(L152="","",ROUND((Config!$B$2-L152)*1440,0))</f>
        <v>66</v>
      </c>
      <c r="N152" s="18" t="n">
        <f aca="false">IF(K152="Staff verified",Config!$B$4,IF(OR(K152="Authorized student verified",K152="Multiple student reports",K152="Single student report"),Config!$B$3,""))</f>
        <v>240</v>
      </c>
      <c r="O152" s="18" t="str">
        <f aca="false">IF(H152="No","n/a",IF(L152="","Unverified Data",IF(M152&gt;N152,"Stale report",K152)))</f>
        <v>Staff verified</v>
      </c>
      <c r="P152" s="18" t="str">
        <f aca="false">IF(AND(H152="Yes",OR(I152="Available",I152="Low stock")),IF(O152="Stale report","Verify first","Yes"),"No")</f>
        <v>Yes</v>
      </c>
      <c r="Q152" s="18" t="str">
        <f aca="false">IF(H152="Yes","proposed_pending_approval","n/a")</f>
        <v>proposed_pending_approval</v>
      </c>
      <c r="R152" s="18" t="str">
        <f aca="false">IF(H152="Yes","Retail swipe (proposed) / RU Express / Cash or card","n/a")</f>
        <v>Retail swipe (proposed) / RU Express / Cash or card</v>
      </c>
      <c r="S152" s="21" t="str">
        <f aca="false">INDEX(Products!$I$2:$I$29,MATCH($E152,Products!$A$2:$A$29,0))</f>
        <v>1 package</v>
      </c>
      <c r="T152" s="18" t="n">
        <f aca="false">IF(H152="Yes",Config!$B$5,"")</f>
        <v>75</v>
      </c>
      <c r="U152" s="21" t="str">
        <f aca="false">INDEX(Products!$J$2:$J$29,MATCH($E152,Products!$A$2:$A$29,0))</f>
        <v>No</v>
      </c>
      <c r="V152" s="18" t="s">
        <v>394</v>
      </c>
    </row>
    <row r="153" customFormat="false" ht="15" hidden="false" customHeight="true" outlineLevel="0" collapsed="false">
      <c r="A153" s="18" t="s">
        <v>552</v>
      </c>
      <c r="B153" s="18" t="s">
        <v>173</v>
      </c>
      <c r="C153" s="21" t="str">
        <f aca="false">INDEX(Locations!$B$2:$B$9,MATCH($B153,Locations!$A$2:$A$9,0))</f>
        <v>Woody's Cafe</v>
      </c>
      <c r="D153" s="21" t="str">
        <f aca="false">INDEX(Locations!$C$2:$C$9,MATCH($B153,Locations!$A$2:$A$9,0))</f>
        <v>Busch</v>
      </c>
      <c r="E153" s="18" t="s">
        <v>275</v>
      </c>
      <c r="F153" s="21" t="str">
        <f aca="false">INDEX(Products!$B$2:$B$29,MATCH($E153,Products!$A$2:$A$29,0))</f>
        <v>Zyrtec</v>
      </c>
      <c r="G153" s="21" t="str">
        <f aca="false">INDEX(Products!$C$2:$C$29,MATCH($E153,Products!$A$2:$A$29,0))</f>
        <v>Allergy</v>
      </c>
      <c r="H153" s="18" t="s">
        <v>212</v>
      </c>
      <c r="I153" s="18" t="s">
        <v>487</v>
      </c>
      <c r="J153" s="18" t="str">
        <f aca="false">IF(H153="No","-",IF(I153="Available","Good supply",IF(I153="Low stock","Few left",IF(I153="Out of stock","None",IF(I153="Temporarily unavailable","Unavailable","Unknown")))))</f>
        <v>-</v>
      </c>
      <c r="K153" s="18"/>
      <c r="L153" s="22"/>
      <c r="M153" s="18" t="str">
        <f aca="false">IF(L153="","",ROUND((Config!$B$2-L153)*1440,0))</f>
        <v/>
      </c>
      <c r="N153" s="18" t="str">
        <f aca="false">IF(K153="Staff verified",Config!$B$4,IF(OR(K153="Authorized student verified",K153="Multiple student reports",K153="Single student report"),Config!$B$3,""))</f>
        <v/>
      </c>
      <c r="O153" s="18" t="str">
        <f aca="false">IF(H153="No","n/a",IF(L153="","Unverified Data",IF(M153&gt;N153,"Stale report",K153)))</f>
        <v>n/a</v>
      </c>
      <c r="P153" s="18" t="str">
        <f aca="false">IF(AND(H153="Yes",OR(I153="Available",I153="Low stock")),IF(O153="Stale report","Verify first","Yes"),"No")</f>
        <v>No</v>
      </c>
      <c r="Q153" s="18" t="str">
        <f aca="false">IF(H153="Yes","proposed_pending_approval","n/a")</f>
        <v>n/a</v>
      </c>
      <c r="R153" s="18" t="str">
        <f aca="false">IF(H153="Yes","Retail swipe (proposed) / RU Express / Cash or card","n/a")</f>
        <v>n/a</v>
      </c>
      <c r="S153" s="21" t="str">
        <f aca="false">INDEX(Products!$I$2:$I$29,MATCH($E153,Products!$A$2:$A$29,0))</f>
        <v>1 package</v>
      </c>
      <c r="T153" s="18" t="str">
        <f aca="false">IF(H153="Yes",Config!$B$5,"")</f>
        <v/>
      </c>
      <c r="U153" s="21" t="str">
        <f aca="false">INDEX(Products!$J$2:$J$29,MATCH($E153,Products!$A$2:$A$29,0))</f>
        <v>No</v>
      </c>
      <c r="V153" s="18" t="s">
        <v>394</v>
      </c>
    </row>
    <row r="154" customFormat="false" ht="15" hidden="false" customHeight="true" outlineLevel="0" collapsed="false">
      <c r="A154" s="18" t="s">
        <v>553</v>
      </c>
      <c r="B154" s="18" t="s">
        <v>173</v>
      </c>
      <c r="C154" s="21" t="str">
        <f aca="false">INDEX(Locations!$B$2:$B$9,MATCH($B154,Locations!$A$2:$A$9,0))</f>
        <v>Woody's Cafe</v>
      </c>
      <c r="D154" s="21" t="str">
        <f aca="false">INDEX(Locations!$C$2:$C$9,MATCH($B154,Locations!$A$2:$A$9,0))</f>
        <v>Busch</v>
      </c>
      <c r="E154" s="18" t="s">
        <v>281</v>
      </c>
      <c r="F154" s="21" t="str">
        <f aca="false">INDEX(Products!$B$2:$B$29,MATCH($E154,Products!$A$2:$A$29,0))</f>
        <v>Benadryl</v>
      </c>
      <c r="G154" s="21" t="str">
        <f aca="false">INDEX(Products!$C$2:$C$29,MATCH($E154,Products!$A$2:$A$29,0))</f>
        <v>Allergy</v>
      </c>
      <c r="H154" s="18" t="s">
        <v>212</v>
      </c>
      <c r="I154" s="18" t="s">
        <v>487</v>
      </c>
      <c r="J154" s="18" t="str">
        <f aca="false">IF(H154="No","-",IF(I154="Available","Good supply",IF(I154="Low stock","Few left",IF(I154="Out of stock","None",IF(I154="Temporarily unavailable","Unavailable","Unknown")))))</f>
        <v>-</v>
      </c>
      <c r="K154" s="18"/>
      <c r="L154" s="22"/>
      <c r="M154" s="18" t="str">
        <f aca="false">IF(L154="","",ROUND((Config!$B$2-L154)*1440,0))</f>
        <v/>
      </c>
      <c r="N154" s="18" t="str">
        <f aca="false">IF(K154="Staff verified",Config!$B$4,IF(OR(K154="Authorized student verified",K154="Multiple student reports",K154="Single student report"),Config!$B$3,""))</f>
        <v/>
      </c>
      <c r="O154" s="18" t="str">
        <f aca="false">IF(H154="No","n/a",IF(L154="","Unverified Data",IF(M154&gt;N154,"Stale report",K154)))</f>
        <v>n/a</v>
      </c>
      <c r="P154" s="18" t="str">
        <f aca="false">IF(AND(H154="Yes",OR(I154="Available",I154="Low stock")),IF(O154="Stale report","Verify first","Yes"),"No")</f>
        <v>No</v>
      </c>
      <c r="Q154" s="18" t="str">
        <f aca="false">IF(H154="Yes","proposed_pending_approval","n/a")</f>
        <v>n/a</v>
      </c>
      <c r="R154" s="18" t="str">
        <f aca="false">IF(H154="Yes","Retail swipe (proposed) / RU Express / Cash or card","n/a")</f>
        <v>n/a</v>
      </c>
      <c r="S154" s="21" t="str">
        <f aca="false">INDEX(Products!$I$2:$I$29,MATCH($E154,Products!$A$2:$A$29,0))</f>
        <v>1 package</v>
      </c>
      <c r="T154" s="18" t="str">
        <f aca="false">IF(H154="Yes",Config!$B$5,"")</f>
        <v/>
      </c>
      <c r="U154" s="21" t="str">
        <f aca="false">INDEX(Products!$J$2:$J$29,MATCH($E154,Products!$A$2:$A$29,0))</f>
        <v>No</v>
      </c>
      <c r="V154" s="18" t="s">
        <v>394</v>
      </c>
    </row>
    <row r="155" customFormat="false" ht="15" hidden="false" customHeight="true" outlineLevel="0" collapsed="false">
      <c r="A155" s="18" t="s">
        <v>554</v>
      </c>
      <c r="B155" s="18" t="s">
        <v>173</v>
      </c>
      <c r="C155" s="21" t="str">
        <f aca="false">INDEX(Locations!$B$2:$B$9,MATCH($B155,Locations!$A$2:$A$9,0))</f>
        <v>Woody's Cafe</v>
      </c>
      <c r="D155" s="21" t="str">
        <f aca="false">INDEX(Locations!$C$2:$C$9,MATCH($B155,Locations!$A$2:$A$9,0))</f>
        <v>Busch</v>
      </c>
      <c r="E155" s="18" t="s">
        <v>287</v>
      </c>
      <c r="F155" s="21" t="str">
        <f aca="false">INDEX(Products!$B$2:$B$29,MATCH($E155,Products!$A$2:$A$29,0))</f>
        <v>Tums</v>
      </c>
      <c r="G155" s="21" t="str">
        <f aca="false">INDEX(Products!$C$2:$C$29,MATCH($E155,Products!$A$2:$A$29,0))</f>
        <v>Digestive</v>
      </c>
      <c r="H155" s="18" t="s">
        <v>123</v>
      </c>
      <c r="I155" s="18" t="s">
        <v>392</v>
      </c>
      <c r="J155" s="18" t="str">
        <f aca="false">IF(H155="No","-",IF(I155="Available","Good supply",IF(I155="Low stock","Few left",IF(I155="Out of stock","None",IF(I155="Temporarily unavailable","Unavailable","Unknown")))))</f>
        <v>Good supply</v>
      </c>
      <c r="K155" s="18" t="s">
        <v>393</v>
      </c>
      <c r="L155" s="22" t="n">
        <v>46308.4743055556</v>
      </c>
      <c r="M155" s="18" t="n">
        <f aca="false">IF(L155="","",ROUND((Config!$B$2-L155)*1440,0))</f>
        <v>217</v>
      </c>
      <c r="N155" s="18" t="n">
        <f aca="false">IF(K155="Staff verified",Config!$B$4,IF(OR(K155="Authorized student verified",K155="Multiple student reports",K155="Single student report"),Config!$B$3,""))</f>
        <v>240</v>
      </c>
      <c r="O155" s="18" t="str">
        <f aca="false">IF(H155="No","n/a",IF(L155="","Unverified Data",IF(M155&gt;N155,"Stale report",K155)))</f>
        <v>Staff verified</v>
      </c>
      <c r="P155" s="18" t="str">
        <f aca="false">IF(AND(H155="Yes",OR(I155="Available",I155="Low stock")),IF(O155="Stale report","Verify first","Yes"),"No")</f>
        <v>Yes</v>
      </c>
      <c r="Q155" s="18" t="str">
        <f aca="false">IF(H155="Yes","proposed_pending_approval","n/a")</f>
        <v>proposed_pending_approval</v>
      </c>
      <c r="R155" s="18" t="str">
        <f aca="false">IF(H155="Yes","Retail swipe (proposed) / RU Express / Cash or card","n/a")</f>
        <v>Retail swipe (proposed) / RU Express / Cash or card</v>
      </c>
      <c r="S155" s="21" t="str">
        <f aca="false">INDEX(Products!$I$2:$I$29,MATCH($E155,Products!$A$2:$A$29,0))</f>
        <v>1 package</v>
      </c>
      <c r="T155" s="18" t="n">
        <f aca="false">IF(H155="Yes",Config!$B$5,"")</f>
        <v>75</v>
      </c>
      <c r="U155" s="21" t="str">
        <f aca="false">INDEX(Products!$J$2:$J$29,MATCH($E155,Products!$A$2:$A$29,0))</f>
        <v>No</v>
      </c>
      <c r="V155" s="18" t="s">
        <v>394</v>
      </c>
    </row>
    <row r="156" customFormat="false" ht="15" hidden="false" customHeight="true" outlineLevel="0" collapsed="false">
      <c r="A156" s="18" t="s">
        <v>555</v>
      </c>
      <c r="B156" s="18" t="s">
        <v>173</v>
      </c>
      <c r="C156" s="21" t="str">
        <f aca="false">INDEX(Locations!$B$2:$B$9,MATCH($B156,Locations!$A$2:$A$9,0))</f>
        <v>Woody's Cafe</v>
      </c>
      <c r="D156" s="21" t="str">
        <f aca="false">INDEX(Locations!$C$2:$C$9,MATCH($B156,Locations!$A$2:$A$9,0))</f>
        <v>Busch</v>
      </c>
      <c r="E156" s="18" t="s">
        <v>293</v>
      </c>
      <c r="F156" s="21" t="str">
        <f aca="false">INDEX(Products!$B$2:$B$29,MATCH($E156,Products!$A$2:$A$29,0))</f>
        <v>Pepto-Bismol</v>
      </c>
      <c r="G156" s="21" t="str">
        <f aca="false">INDEX(Products!$C$2:$C$29,MATCH($E156,Products!$A$2:$A$29,0))</f>
        <v>Digestive</v>
      </c>
      <c r="H156" s="18" t="s">
        <v>123</v>
      </c>
      <c r="I156" s="18" t="s">
        <v>392</v>
      </c>
      <c r="J156" s="18" t="str">
        <f aca="false">IF(H156="No","-",IF(I156="Available","Good supply",IF(I156="Low stock","Few left",IF(I156="Out of stock","None",IF(I156="Temporarily unavailable","Unavailable","Unknown")))))</f>
        <v>Good supply</v>
      </c>
      <c r="K156" s="18" t="s">
        <v>397</v>
      </c>
      <c r="L156" s="22" t="n">
        <v>46308.5680555556</v>
      </c>
      <c r="M156" s="18" t="n">
        <f aca="false">IF(L156="","",ROUND((Config!$B$2-L156)*1440,0))</f>
        <v>82</v>
      </c>
      <c r="N156" s="18" t="str">
        <f aca="false">IF(K156="Staff verified",Config!$B$4,IF(OR(K156="Authorized student verified",K156="Multiple student reports",K156="Single student report"),Config!$B$3,""))</f>
        <v/>
      </c>
      <c r="O156" s="18" t="str">
        <f aca="false">IF(H156="No","n/a",IF(L156="","Unverified Data",IF(M156&gt;N156,"Stale report",K156)))</f>
        <v>Verified student report</v>
      </c>
      <c r="P156" s="18" t="str">
        <f aca="false">IF(AND(H156="Yes",OR(I156="Available",I156="Low stock")),IF(O156="Stale report","Verify first","Yes"),"No")</f>
        <v>Yes</v>
      </c>
      <c r="Q156" s="18" t="str">
        <f aca="false">IF(H156="Yes","proposed_pending_approval","n/a")</f>
        <v>proposed_pending_approval</v>
      </c>
      <c r="R156" s="18" t="str">
        <f aca="false">IF(H156="Yes","Retail swipe (proposed) / RU Express / Cash or card","n/a")</f>
        <v>Retail swipe (proposed) / RU Express / Cash or card</v>
      </c>
      <c r="S156" s="21" t="str">
        <f aca="false">INDEX(Products!$I$2:$I$29,MATCH($E156,Products!$A$2:$A$29,0))</f>
        <v>1 package</v>
      </c>
      <c r="T156" s="18" t="n">
        <f aca="false">IF(H156="Yes",Config!$B$5,"")</f>
        <v>75</v>
      </c>
      <c r="U156" s="21" t="str">
        <f aca="false">INDEX(Products!$J$2:$J$29,MATCH($E156,Products!$A$2:$A$29,0))</f>
        <v>No</v>
      </c>
      <c r="V156" s="18" t="s">
        <v>394</v>
      </c>
    </row>
    <row r="157" customFormat="false" ht="15" hidden="false" customHeight="true" outlineLevel="0" collapsed="false">
      <c r="A157" s="18" t="s">
        <v>556</v>
      </c>
      <c r="B157" s="18" t="s">
        <v>173</v>
      </c>
      <c r="C157" s="21" t="str">
        <f aca="false">INDEX(Locations!$B$2:$B$9,MATCH($B157,Locations!$A$2:$A$9,0))</f>
        <v>Woody's Cafe</v>
      </c>
      <c r="D157" s="21" t="str">
        <f aca="false">INDEX(Locations!$C$2:$C$9,MATCH($B157,Locations!$A$2:$A$9,0))</f>
        <v>Busch</v>
      </c>
      <c r="E157" s="18" t="s">
        <v>299</v>
      </c>
      <c r="F157" s="21" t="str">
        <f aca="false">INDEX(Products!$B$2:$B$29,MATCH($E157,Products!$A$2:$A$29,0))</f>
        <v>Imodium A-D</v>
      </c>
      <c r="G157" s="21" t="str">
        <f aca="false">INDEX(Products!$C$2:$C$29,MATCH($E157,Products!$A$2:$A$29,0))</f>
        <v>Digestive</v>
      </c>
      <c r="H157" s="18" t="s">
        <v>212</v>
      </c>
      <c r="I157" s="18" t="s">
        <v>487</v>
      </c>
      <c r="J157" s="18" t="str">
        <f aca="false">IF(H157="No","-",IF(I157="Available","Good supply",IF(I157="Low stock","Few left",IF(I157="Out of stock","None",IF(I157="Temporarily unavailable","Unavailable","Unknown")))))</f>
        <v>-</v>
      </c>
      <c r="K157" s="18"/>
      <c r="L157" s="22"/>
      <c r="M157" s="18" t="str">
        <f aca="false">IF(L157="","",ROUND((Config!$B$2-L157)*1440,0))</f>
        <v/>
      </c>
      <c r="N157" s="18" t="str">
        <f aca="false">IF(K157="Staff verified",Config!$B$4,IF(OR(K157="Authorized student verified",K157="Multiple student reports",K157="Single student report"),Config!$B$3,""))</f>
        <v/>
      </c>
      <c r="O157" s="18" t="str">
        <f aca="false">IF(H157="No","n/a",IF(L157="","Unverified Data",IF(M157&gt;N157,"Stale report",K157)))</f>
        <v>n/a</v>
      </c>
      <c r="P157" s="18" t="str">
        <f aca="false">IF(AND(H157="Yes",OR(I157="Available",I157="Low stock")),IF(O157="Stale report","Verify first","Yes"),"No")</f>
        <v>No</v>
      </c>
      <c r="Q157" s="18" t="str">
        <f aca="false">IF(H157="Yes","proposed_pending_approval","n/a")</f>
        <v>n/a</v>
      </c>
      <c r="R157" s="18" t="str">
        <f aca="false">IF(H157="Yes","Retail swipe (proposed) / RU Express / Cash or card","n/a")</f>
        <v>n/a</v>
      </c>
      <c r="S157" s="21" t="str">
        <f aca="false">INDEX(Products!$I$2:$I$29,MATCH($E157,Products!$A$2:$A$29,0))</f>
        <v>1 package</v>
      </c>
      <c r="T157" s="18" t="str">
        <f aca="false">IF(H157="Yes",Config!$B$5,"")</f>
        <v/>
      </c>
      <c r="U157" s="21" t="str">
        <f aca="false">INDEX(Products!$J$2:$J$29,MATCH($E157,Products!$A$2:$A$29,0))</f>
        <v>No</v>
      </c>
      <c r="V157" s="18" t="s">
        <v>394</v>
      </c>
    </row>
    <row r="158" customFormat="false" ht="15" hidden="false" customHeight="true" outlineLevel="0" collapsed="false">
      <c r="A158" s="18" t="s">
        <v>557</v>
      </c>
      <c r="B158" s="18" t="s">
        <v>173</v>
      </c>
      <c r="C158" s="21" t="str">
        <f aca="false">INDEX(Locations!$B$2:$B$9,MATCH($B158,Locations!$A$2:$A$9,0))</f>
        <v>Woody's Cafe</v>
      </c>
      <c r="D158" s="21" t="str">
        <f aca="false">INDEX(Locations!$C$2:$C$9,MATCH($B158,Locations!$A$2:$A$9,0))</f>
        <v>Busch</v>
      </c>
      <c r="E158" s="18" t="s">
        <v>305</v>
      </c>
      <c r="F158" s="21" t="str">
        <f aca="false">INDEX(Products!$B$2:$B$29,MATCH($E158,Products!$A$2:$A$29,0))</f>
        <v>Pedialyte</v>
      </c>
      <c r="G158" s="21" t="str">
        <f aca="false">INDEX(Products!$C$2:$C$29,MATCH($E158,Products!$A$2:$A$29,0))</f>
        <v>Hydration</v>
      </c>
      <c r="H158" s="18" t="s">
        <v>123</v>
      </c>
      <c r="I158" s="18" t="s">
        <v>392</v>
      </c>
      <c r="J158" s="18" t="str">
        <f aca="false">IF(H158="No","-",IF(I158="Available","Good supply",IF(I158="Low stock","Few left",IF(I158="Out of stock","None",IF(I158="Temporarily unavailable","Unavailable","Unknown")))))</f>
        <v>Good supply</v>
      </c>
      <c r="K158" s="18" t="s">
        <v>397</v>
      </c>
      <c r="L158" s="22" t="n">
        <v>46308.6159722222</v>
      </c>
      <c r="M158" s="18" t="n">
        <f aca="false">IF(L158="","",ROUND((Config!$B$2-L158)*1440,0))</f>
        <v>13</v>
      </c>
      <c r="N158" s="18" t="str">
        <f aca="false">IF(K158="Staff verified",Config!$B$4,IF(OR(K158="Authorized student verified",K158="Multiple student reports",K158="Single student report"),Config!$B$3,""))</f>
        <v/>
      </c>
      <c r="O158" s="18" t="str">
        <f aca="false">IF(H158="No","n/a",IF(L158="","Unverified Data",IF(M158&gt;N158,"Stale report",K158)))</f>
        <v>Verified student report</v>
      </c>
      <c r="P158" s="18" t="str">
        <f aca="false">IF(AND(H158="Yes",OR(I158="Available",I158="Low stock")),IF(O158="Stale report","Verify first","Yes"),"No")</f>
        <v>Yes</v>
      </c>
      <c r="Q158" s="18" t="str">
        <f aca="false">IF(H158="Yes","proposed_pending_approval","n/a")</f>
        <v>proposed_pending_approval</v>
      </c>
      <c r="R158" s="18" t="str">
        <f aca="false">IF(H158="Yes","Retail swipe (proposed) / RU Express / Cash or card","n/a")</f>
        <v>Retail swipe (proposed) / RU Express / Cash or card</v>
      </c>
      <c r="S158" s="21" t="str">
        <f aca="false">INDEX(Products!$I$2:$I$29,MATCH($E158,Products!$A$2:$A$29,0))</f>
        <v>2 bottles</v>
      </c>
      <c r="T158" s="18" t="n">
        <f aca="false">IF(H158="Yes",Config!$B$5,"")</f>
        <v>75</v>
      </c>
      <c r="U158" s="21" t="str">
        <f aca="false">INDEX(Products!$J$2:$J$29,MATCH($E158,Products!$A$2:$A$29,0))</f>
        <v>No</v>
      </c>
      <c r="V158" s="18" t="s">
        <v>394</v>
      </c>
    </row>
    <row r="159" customFormat="false" ht="15" hidden="false" customHeight="true" outlineLevel="0" collapsed="false">
      <c r="A159" s="18" t="s">
        <v>558</v>
      </c>
      <c r="B159" s="18" t="s">
        <v>173</v>
      </c>
      <c r="C159" s="21" t="str">
        <f aca="false">INDEX(Locations!$B$2:$B$9,MATCH($B159,Locations!$A$2:$A$9,0))</f>
        <v>Woody's Cafe</v>
      </c>
      <c r="D159" s="21" t="str">
        <f aca="false">INDEX(Locations!$C$2:$C$9,MATCH($B159,Locations!$A$2:$A$9,0))</f>
        <v>Busch</v>
      </c>
      <c r="E159" s="18" t="s">
        <v>312</v>
      </c>
      <c r="F159" s="21" t="str">
        <f aca="false">INDEX(Products!$B$2:$B$29,MATCH($E159,Products!$A$2:$A$29,0))</f>
        <v>Digital thermometer (brand varies)</v>
      </c>
      <c r="G159" s="21" t="str">
        <f aca="false">INDEX(Products!$C$2:$C$29,MATCH($E159,Products!$A$2:$A$29,0))</f>
        <v>Diagnostics</v>
      </c>
      <c r="H159" s="18" t="s">
        <v>123</v>
      </c>
      <c r="I159" s="18" t="s">
        <v>404</v>
      </c>
      <c r="J159" s="18" t="str">
        <f aca="false">IF(H159="No","-",IF(I159="Available","Good supply",IF(I159="Low stock","Few left",IF(I159="Out of stock","None",IF(I159="Temporarily unavailable","Unavailable","Unknown")))))</f>
        <v>Few left</v>
      </c>
      <c r="K159" s="18" t="s">
        <v>409</v>
      </c>
      <c r="L159" s="22"/>
      <c r="M159" s="18" t="str">
        <f aca="false">IF(L159="","",ROUND((Config!$B$2-L159)*1440,0))</f>
        <v/>
      </c>
      <c r="N159" s="18" t="str">
        <f aca="false">IF(K159="Staff verified",Config!$B$4,IF(OR(K159="Authorized student verified",K159="Multiple student reports",K159="Single student report"),Config!$B$3,""))</f>
        <v/>
      </c>
      <c r="O159" s="18" t="str">
        <f aca="false">IF(H159="No","n/a",IF(L159="","Unverified Data",IF(M159&gt;N159,"Stale report",K159)))</f>
        <v>Unverified Data</v>
      </c>
      <c r="P159" s="18" t="str">
        <f aca="false">IF(AND(H159="Yes",OR(I159="Available",I159="Low stock")),IF(O159="Stale report","Verify first","Yes"),"No")</f>
        <v>Yes</v>
      </c>
      <c r="Q159" s="18" t="str">
        <f aca="false">IF(H159="Yes","proposed_pending_approval","n/a")</f>
        <v>proposed_pending_approval</v>
      </c>
      <c r="R159" s="18" t="str">
        <f aca="false">IF(H159="Yes","Retail swipe (proposed) / RU Express / Cash or card","n/a")</f>
        <v>Retail swipe (proposed) / RU Express / Cash or card</v>
      </c>
      <c r="S159" s="21" t="str">
        <f aca="false">INDEX(Products!$I$2:$I$29,MATCH($E159,Products!$A$2:$A$29,0))</f>
        <v>1 unit</v>
      </c>
      <c r="T159" s="18" t="n">
        <f aca="false">IF(H159="Yes",Config!$B$5,"")</f>
        <v>75</v>
      </c>
      <c r="U159" s="21" t="str">
        <f aca="false">INDEX(Products!$J$2:$J$29,MATCH($E159,Products!$A$2:$A$29,0))</f>
        <v>No</v>
      </c>
      <c r="V159" s="18" t="s">
        <v>394</v>
      </c>
    </row>
    <row r="160" customFormat="false" ht="15" hidden="false" customHeight="true" outlineLevel="0" collapsed="false">
      <c r="A160" s="18" t="s">
        <v>559</v>
      </c>
      <c r="B160" s="18" t="s">
        <v>173</v>
      </c>
      <c r="C160" s="21" t="str">
        <f aca="false">INDEX(Locations!$B$2:$B$9,MATCH($B160,Locations!$A$2:$A$9,0))</f>
        <v>Woody's Cafe</v>
      </c>
      <c r="D160" s="21" t="str">
        <f aca="false">INDEX(Locations!$C$2:$C$9,MATCH($B160,Locations!$A$2:$A$9,0))</f>
        <v>Busch</v>
      </c>
      <c r="E160" s="18" t="s">
        <v>320</v>
      </c>
      <c r="F160" s="21" t="str">
        <f aca="false">INDEX(Products!$B$2:$B$29,MATCH($E160,Products!$A$2:$A$29,0))</f>
        <v>iHealth COVID-19 Antigen Rapid Test</v>
      </c>
      <c r="G160" s="21" t="str">
        <f aca="false">INDEX(Products!$C$2:$C$29,MATCH($E160,Products!$A$2:$A$29,0))</f>
        <v>Diagnostics</v>
      </c>
      <c r="H160" s="18" t="s">
        <v>212</v>
      </c>
      <c r="I160" s="18" t="s">
        <v>487</v>
      </c>
      <c r="J160" s="18" t="str">
        <f aca="false">IF(H160="No","-",IF(I160="Available","Good supply",IF(I160="Low stock","Few left",IF(I160="Out of stock","None",IF(I160="Temporarily unavailable","Unavailable","Unknown")))))</f>
        <v>-</v>
      </c>
      <c r="K160" s="18"/>
      <c r="L160" s="22"/>
      <c r="M160" s="18" t="str">
        <f aca="false">IF(L160="","",ROUND((Config!$B$2-L160)*1440,0))</f>
        <v/>
      </c>
      <c r="N160" s="18" t="str">
        <f aca="false">IF(K160="Staff verified",Config!$B$4,IF(OR(K160="Authorized student verified",K160="Multiple student reports",K160="Single student report"),Config!$B$3,""))</f>
        <v/>
      </c>
      <c r="O160" s="18" t="str">
        <f aca="false">IF(H160="No","n/a",IF(L160="","Unverified Data",IF(M160&gt;N160,"Stale report",K160)))</f>
        <v>n/a</v>
      </c>
      <c r="P160" s="18" t="str">
        <f aca="false">IF(AND(H160="Yes",OR(I160="Available",I160="Low stock")),IF(O160="Stale report","Verify first","Yes"),"No")</f>
        <v>No</v>
      </c>
      <c r="Q160" s="18" t="str">
        <f aca="false">IF(H160="Yes","proposed_pending_approval","n/a")</f>
        <v>n/a</v>
      </c>
      <c r="R160" s="18" t="str">
        <f aca="false">IF(H160="Yes","Retail swipe (proposed) / RU Express / Cash or card","n/a")</f>
        <v>n/a</v>
      </c>
      <c r="S160" s="21" t="str">
        <f aca="false">INDEX(Products!$I$2:$I$29,MATCH($E160,Products!$A$2:$A$29,0))</f>
        <v>1 kit</v>
      </c>
      <c r="T160" s="18" t="str">
        <f aca="false">IF(H160="Yes",Config!$B$5,"")</f>
        <v/>
      </c>
      <c r="U160" s="21" t="str">
        <f aca="false">INDEX(Products!$J$2:$J$29,MATCH($E160,Products!$A$2:$A$29,0))</f>
        <v>No</v>
      </c>
      <c r="V160" s="18" t="s">
        <v>394</v>
      </c>
    </row>
    <row r="161" customFormat="false" ht="15" hidden="false" customHeight="true" outlineLevel="0" collapsed="false">
      <c r="A161" s="18" t="s">
        <v>560</v>
      </c>
      <c r="B161" s="18" t="s">
        <v>173</v>
      </c>
      <c r="C161" s="21" t="str">
        <f aca="false">INDEX(Locations!$B$2:$B$9,MATCH($B161,Locations!$A$2:$A$9,0))</f>
        <v>Woody's Cafe</v>
      </c>
      <c r="D161" s="21" t="str">
        <f aca="false">INDEX(Locations!$C$2:$C$9,MATCH($B161,Locations!$A$2:$A$9,0))</f>
        <v>Busch</v>
      </c>
      <c r="E161" s="18" t="s">
        <v>327</v>
      </c>
      <c r="F161" s="21" t="str">
        <f aca="false">INDEX(Products!$B$2:$B$29,MATCH($E161,Products!$A$2:$A$29,0))</f>
        <v>Band-Aid Brand Adhesive Bandages</v>
      </c>
      <c r="G161" s="21" t="str">
        <f aca="false">INDEX(Products!$C$2:$C$29,MATCH($E161,Products!$A$2:$A$29,0))</f>
        <v>First aid &amp; comfort</v>
      </c>
      <c r="H161" s="18" t="s">
        <v>123</v>
      </c>
      <c r="I161" s="18" t="s">
        <v>392</v>
      </c>
      <c r="J161" s="18" t="str">
        <f aca="false">IF(H161="No","-",IF(I161="Available","Good supply",IF(I161="Low stock","Few left",IF(I161="Out of stock","None",IF(I161="Temporarily unavailable","Unavailable","Unknown")))))</f>
        <v>Good supply</v>
      </c>
      <c r="K161" s="18" t="s">
        <v>397</v>
      </c>
      <c r="L161" s="22" t="n">
        <v>46308.6041666667</v>
      </c>
      <c r="M161" s="18" t="n">
        <f aca="false">IF(L161="","",ROUND((Config!$B$2-L161)*1440,0))</f>
        <v>30</v>
      </c>
      <c r="N161" s="18" t="str">
        <f aca="false">IF(K161="Staff verified",Config!$B$4,IF(OR(K161="Authorized student verified",K161="Multiple student reports",K161="Single student report"),Config!$B$3,""))</f>
        <v/>
      </c>
      <c r="O161" s="18" t="str">
        <f aca="false">IF(H161="No","n/a",IF(L161="","Unverified Data",IF(M161&gt;N161,"Stale report",K161)))</f>
        <v>Verified student report</v>
      </c>
      <c r="P161" s="18" t="str">
        <f aca="false">IF(AND(H161="Yes",OR(I161="Available",I161="Low stock")),IF(O161="Stale report","Verify first","Yes"),"No")</f>
        <v>Yes</v>
      </c>
      <c r="Q161" s="18" t="str">
        <f aca="false">IF(H161="Yes","proposed_pending_approval","n/a")</f>
        <v>proposed_pending_approval</v>
      </c>
      <c r="R161" s="18" t="str">
        <f aca="false">IF(H161="Yes","Retail swipe (proposed) / RU Express / Cash or card","n/a")</f>
        <v>Retail swipe (proposed) / RU Express / Cash or card</v>
      </c>
      <c r="S161" s="21" t="str">
        <f aca="false">INDEX(Products!$I$2:$I$29,MATCH($E161,Products!$A$2:$A$29,0))</f>
        <v>1 box</v>
      </c>
      <c r="T161" s="18" t="n">
        <f aca="false">IF(H161="Yes",Config!$B$5,"")</f>
        <v>75</v>
      </c>
      <c r="U161" s="21" t="str">
        <f aca="false">INDEX(Products!$J$2:$J$29,MATCH($E161,Products!$A$2:$A$29,0))</f>
        <v>No</v>
      </c>
      <c r="V161" s="18" t="s">
        <v>394</v>
      </c>
    </row>
    <row r="162" customFormat="false" ht="15" hidden="false" customHeight="true" outlineLevel="0" collapsed="false">
      <c r="A162" s="18" t="s">
        <v>561</v>
      </c>
      <c r="B162" s="18" t="s">
        <v>173</v>
      </c>
      <c r="C162" s="21" t="str">
        <f aca="false">INDEX(Locations!$B$2:$B$9,MATCH($B162,Locations!$A$2:$A$9,0))</f>
        <v>Woody's Cafe</v>
      </c>
      <c r="D162" s="21" t="str">
        <f aca="false">INDEX(Locations!$C$2:$C$9,MATCH($B162,Locations!$A$2:$A$9,0))</f>
        <v>Busch</v>
      </c>
      <c r="E162" s="18" t="s">
        <v>333</v>
      </c>
      <c r="F162" s="21" t="str">
        <f aca="false">INDEX(Products!$B$2:$B$29,MATCH($E162,Products!$A$2:$A$29,0))</f>
        <v>Johnson &amp; Johnson First Aid To Go Kit</v>
      </c>
      <c r="G162" s="21" t="str">
        <f aca="false">INDEX(Products!$C$2:$C$29,MATCH($E162,Products!$A$2:$A$29,0))</f>
        <v>First aid &amp; comfort</v>
      </c>
      <c r="H162" s="18" t="s">
        <v>212</v>
      </c>
      <c r="I162" s="18" t="s">
        <v>487</v>
      </c>
      <c r="J162" s="18" t="str">
        <f aca="false">IF(H162="No","-",IF(I162="Available","Good supply",IF(I162="Low stock","Few left",IF(I162="Out of stock","None",IF(I162="Temporarily unavailable","Unavailable","Unknown")))))</f>
        <v>-</v>
      </c>
      <c r="K162" s="18"/>
      <c r="L162" s="22"/>
      <c r="M162" s="18" t="str">
        <f aca="false">IF(L162="","",ROUND((Config!$B$2-L162)*1440,0))</f>
        <v/>
      </c>
      <c r="N162" s="18" t="str">
        <f aca="false">IF(K162="Staff verified",Config!$B$4,IF(OR(K162="Authorized student verified",K162="Multiple student reports",K162="Single student report"),Config!$B$3,""))</f>
        <v/>
      </c>
      <c r="O162" s="18" t="str">
        <f aca="false">IF(H162="No","n/a",IF(L162="","Unverified Data",IF(M162&gt;N162,"Stale report",K162)))</f>
        <v>n/a</v>
      </c>
      <c r="P162" s="18" t="str">
        <f aca="false">IF(AND(H162="Yes",OR(I162="Available",I162="Low stock")),IF(O162="Stale report","Verify first","Yes"),"No")</f>
        <v>No</v>
      </c>
      <c r="Q162" s="18" t="str">
        <f aca="false">IF(H162="Yes","proposed_pending_approval","n/a")</f>
        <v>n/a</v>
      </c>
      <c r="R162" s="18" t="str">
        <f aca="false">IF(H162="Yes","Retail swipe (proposed) / RU Express / Cash or card","n/a")</f>
        <v>n/a</v>
      </c>
      <c r="S162" s="21" t="str">
        <f aca="false">INDEX(Products!$I$2:$I$29,MATCH($E162,Products!$A$2:$A$29,0))</f>
        <v>1 kit</v>
      </c>
      <c r="T162" s="18" t="str">
        <f aca="false">IF(H162="Yes",Config!$B$5,"")</f>
        <v/>
      </c>
      <c r="U162" s="21" t="str">
        <f aca="false">INDEX(Products!$J$2:$J$29,MATCH($E162,Products!$A$2:$A$29,0))</f>
        <v>No</v>
      </c>
      <c r="V162" s="18" t="s">
        <v>394</v>
      </c>
    </row>
    <row r="163" customFormat="false" ht="15" hidden="false" customHeight="true" outlineLevel="0" collapsed="false">
      <c r="A163" s="18" t="s">
        <v>562</v>
      </c>
      <c r="B163" s="18" t="s">
        <v>173</v>
      </c>
      <c r="C163" s="21" t="str">
        <f aca="false">INDEX(Locations!$B$2:$B$9,MATCH($B163,Locations!$A$2:$A$9,0))</f>
        <v>Woody's Cafe</v>
      </c>
      <c r="D163" s="21" t="str">
        <f aca="false">INDEX(Locations!$C$2:$C$9,MATCH($B163,Locations!$A$2:$A$9,0))</f>
        <v>Busch</v>
      </c>
      <c r="E163" s="18" t="s">
        <v>338</v>
      </c>
      <c r="F163" s="21" t="str">
        <f aca="false">INDEX(Products!$B$2:$B$29,MATCH($E163,Products!$A$2:$A$29,0))</f>
        <v>Neosporin Original Ointment</v>
      </c>
      <c r="G163" s="21" t="str">
        <f aca="false">INDEX(Products!$C$2:$C$29,MATCH($E163,Products!$A$2:$A$29,0))</f>
        <v>First aid &amp; comfort</v>
      </c>
      <c r="H163" s="18" t="s">
        <v>212</v>
      </c>
      <c r="I163" s="18" t="s">
        <v>487</v>
      </c>
      <c r="J163" s="18" t="str">
        <f aca="false">IF(H163="No","-",IF(I163="Available","Good supply",IF(I163="Low stock","Few left",IF(I163="Out of stock","None",IF(I163="Temporarily unavailable","Unavailable","Unknown")))))</f>
        <v>-</v>
      </c>
      <c r="K163" s="18"/>
      <c r="L163" s="22"/>
      <c r="M163" s="18" t="str">
        <f aca="false">IF(L163="","",ROUND((Config!$B$2-L163)*1440,0))</f>
        <v/>
      </c>
      <c r="N163" s="18" t="str">
        <f aca="false">IF(K163="Staff verified",Config!$B$4,IF(OR(K163="Authorized student verified",K163="Multiple student reports",K163="Single student report"),Config!$B$3,""))</f>
        <v/>
      </c>
      <c r="O163" s="18" t="str">
        <f aca="false">IF(H163="No","n/a",IF(L163="","Unverified Data",IF(M163&gt;N163,"Stale report",K163)))</f>
        <v>n/a</v>
      </c>
      <c r="P163" s="18" t="str">
        <f aca="false">IF(AND(H163="Yes",OR(I163="Available",I163="Low stock")),IF(O163="Stale report","Verify first","Yes"),"No")</f>
        <v>No</v>
      </c>
      <c r="Q163" s="18" t="str">
        <f aca="false">IF(H163="Yes","proposed_pending_approval","n/a")</f>
        <v>n/a</v>
      </c>
      <c r="R163" s="18" t="str">
        <f aca="false">IF(H163="Yes","Retail swipe (proposed) / RU Express / Cash or card","n/a")</f>
        <v>n/a</v>
      </c>
      <c r="S163" s="21" t="str">
        <f aca="false">INDEX(Products!$I$2:$I$29,MATCH($E163,Products!$A$2:$A$29,0))</f>
        <v>1 tube</v>
      </c>
      <c r="T163" s="18" t="str">
        <f aca="false">IF(H163="Yes",Config!$B$5,"")</f>
        <v/>
      </c>
      <c r="U163" s="21" t="str">
        <f aca="false">INDEX(Products!$J$2:$J$29,MATCH($E163,Products!$A$2:$A$29,0))</f>
        <v>No</v>
      </c>
      <c r="V163" s="18" t="s">
        <v>394</v>
      </c>
    </row>
    <row r="164" customFormat="false" ht="15" hidden="false" customHeight="true" outlineLevel="0" collapsed="false">
      <c r="A164" s="18" t="s">
        <v>563</v>
      </c>
      <c r="B164" s="18" t="s">
        <v>173</v>
      </c>
      <c r="C164" s="21" t="str">
        <f aca="false">INDEX(Locations!$B$2:$B$9,MATCH($B164,Locations!$A$2:$A$9,0))</f>
        <v>Woody's Cafe</v>
      </c>
      <c r="D164" s="21" t="str">
        <f aca="false">INDEX(Locations!$C$2:$C$9,MATCH($B164,Locations!$A$2:$A$9,0))</f>
        <v>Busch</v>
      </c>
      <c r="E164" s="18" t="s">
        <v>345</v>
      </c>
      <c r="F164" s="21" t="str">
        <f aca="false">INDEX(Products!$B$2:$B$29,MATCH($E164,Products!$A$2:$A$29,0))</f>
        <v>Instant cold pack (brand varies)</v>
      </c>
      <c r="G164" s="21" t="str">
        <f aca="false">INDEX(Products!$C$2:$C$29,MATCH($E164,Products!$A$2:$A$29,0))</f>
        <v>First aid &amp; comfort</v>
      </c>
      <c r="H164" s="18" t="s">
        <v>212</v>
      </c>
      <c r="I164" s="18" t="s">
        <v>487</v>
      </c>
      <c r="J164" s="18" t="str">
        <f aca="false">IF(H164="No","-",IF(I164="Available","Good supply",IF(I164="Low stock","Few left",IF(I164="Out of stock","None",IF(I164="Temporarily unavailable","Unavailable","Unknown")))))</f>
        <v>-</v>
      </c>
      <c r="K164" s="18"/>
      <c r="L164" s="22"/>
      <c r="M164" s="18" t="str">
        <f aca="false">IF(L164="","",ROUND((Config!$B$2-L164)*1440,0))</f>
        <v/>
      </c>
      <c r="N164" s="18" t="str">
        <f aca="false">IF(K164="Staff verified",Config!$B$4,IF(OR(K164="Authorized student verified",K164="Multiple student reports",K164="Single student report"),Config!$B$3,""))</f>
        <v/>
      </c>
      <c r="O164" s="18" t="str">
        <f aca="false">IF(H164="No","n/a",IF(L164="","Unverified Data",IF(M164&gt;N164,"Stale report",K164)))</f>
        <v>n/a</v>
      </c>
      <c r="P164" s="18" t="str">
        <f aca="false">IF(AND(H164="Yes",OR(I164="Available",I164="Low stock")),IF(O164="Stale report","Verify first","Yes"),"No")</f>
        <v>No</v>
      </c>
      <c r="Q164" s="18" t="str">
        <f aca="false">IF(H164="Yes","proposed_pending_approval","n/a")</f>
        <v>n/a</v>
      </c>
      <c r="R164" s="18" t="str">
        <f aca="false">IF(H164="Yes","Retail swipe (proposed) / RU Express / Cash or card","n/a")</f>
        <v>n/a</v>
      </c>
      <c r="S164" s="21" t="str">
        <f aca="false">INDEX(Products!$I$2:$I$29,MATCH($E164,Products!$A$2:$A$29,0))</f>
        <v>1 pack</v>
      </c>
      <c r="T164" s="18" t="str">
        <f aca="false">IF(H164="Yes",Config!$B$5,"")</f>
        <v/>
      </c>
      <c r="U164" s="21" t="str">
        <f aca="false">INDEX(Products!$J$2:$J$29,MATCH($E164,Products!$A$2:$A$29,0))</f>
        <v>No</v>
      </c>
      <c r="V164" s="18" t="s">
        <v>394</v>
      </c>
    </row>
    <row r="165" customFormat="false" ht="15" hidden="false" customHeight="true" outlineLevel="0" collapsed="false">
      <c r="A165" s="18" t="s">
        <v>564</v>
      </c>
      <c r="B165" s="18" t="s">
        <v>173</v>
      </c>
      <c r="C165" s="21" t="str">
        <f aca="false">INDEX(Locations!$B$2:$B$9,MATCH($B165,Locations!$A$2:$A$9,0))</f>
        <v>Woody's Cafe</v>
      </c>
      <c r="D165" s="21" t="str">
        <f aca="false">INDEX(Locations!$C$2:$C$9,MATCH($B165,Locations!$A$2:$A$9,0))</f>
        <v>Busch</v>
      </c>
      <c r="E165" s="18" t="s">
        <v>351</v>
      </c>
      <c r="F165" s="21" t="str">
        <f aca="false">INDEX(Products!$B$2:$B$29,MATCH($E165,Products!$A$2:$A$29,0))</f>
        <v>ThermaCare Heat Wrap</v>
      </c>
      <c r="G165" s="21" t="str">
        <f aca="false">INDEX(Products!$C$2:$C$29,MATCH($E165,Products!$A$2:$A$29,0))</f>
        <v>First aid &amp; comfort</v>
      </c>
      <c r="H165" s="18" t="s">
        <v>212</v>
      </c>
      <c r="I165" s="18" t="s">
        <v>487</v>
      </c>
      <c r="J165" s="18" t="str">
        <f aca="false">IF(H165="No","-",IF(I165="Available","Good supply",IF(I165="Low stock","Few left",IF(I165="Out of stock","None",IF(I165="Temporarily unavailable","Unavailable","Unknown")))))</f>
        <v>-</v>
      </c>
      <c r="K165" s="18"/>
      <c r="L165" s="22"/>
      <c r="M165" s="18" t="str">
        <f aca="false">IF(L165="","",ROUND((Config!$B$2-L165)*1440,0))</f>
        <v/>
      </c>
      <c r="N165" s="18" t="str">
        <f aca="false">IF(K165="Staff verified",Config!$B$4,IF(OR(K165="Authorized student verified",K165="Multiple student reports",K165="Single student report"),Config!$B$3,""))</f>
        <v/>
      </c>
      <c r="O165" s="18" t="str">
        <f aca="false">IF(H165="No","n/a",IF(L165="","Unverified Data",IF(M165&gt;N165,"Stale report",K165)))</f>
        <v>n/a</v>
      </c>
      <c r="P165" s="18" t="str">
        <f aca="false">IF(AND(H165="Yes",OR(I165="Available",I165="Low stock")),IF(O165="Stale report","Verify first","Yes"),"No")</f>
        <v>No</v>
      </c>
      <c r="Q165" s="18" t="str">
        <f aca="false">IF(H165="Yes","proposed_pending_approval","n/a")</f>
        <v>n/a</v>
      </c>
      <c r="R165" s="18" t="str">
        <f aca="false">IF(H165="Yes","Retail swipe (proposed) / RU Express / Cash or card","n/a")</f>
        <v>n/a</v>
      </c>
      <c r="S165" s="21" t="str">
        <f aca="false">INDEX(Products!$I$2:$I$29,MATCH($E165,Products!$A$2:$A$29,0))</f>
        <v>1 package</v>
      </c>
      <c r="T165" s="18" t="str">
        <f aca="false">IF(H165="Yes",Config!$B$5,"")</f>
        <v/>
      </c>
      <c r="U165" s="21" t="str">
        <f aca="false">INDEX(Products!$J$2:$J$29,MATCH($E165,Products!$A$2:$A$29,0))</f>
        <v>No</v>
      </c>
      <c r="V165" s="18" t="s">
        <v>394</v>
      </c>
    </row>
    <row r="166" customFormat="false" ht="15" hidden="false" customHeight="true" outlineLevel="0" collapsed="false">
      <c r="A166" s="18" t="s">
        <v>565</v>
      </c>
      <c r="B166" s="18" t="s">
        <v>173</v>
      </c>
      <c r="C166" s="21" t="str">
        <f aca="false">INDEX(Locations!$B$2:$B$9,MATCH($B166,Locations!$A$2:$A$9,0))</f>
        <v>Woody's Cafe</v>
      </c>
      <c r="D166" s="21" t="str">
        <f aca="false">INDEX(Locations!$C$2:$C$9,MATCH($B166,Locations!$A$2:$A$9,0))</f>
        <v>Busch</v>
      </c>
      <c r="E166" s="18" t="s">
        <v>356</v>
      </c>
      <c r="F166" s="21" t="str">
        <f aca="false">INDEX(Products!$B$2:$B$29,MATCH($E166,Products!$A$2:$A$29,0))</f>
        <v>Always Ultra Thin Pads</v>
      </c>
      <c r="G166" s="21" t="str">
        <f aca="false">INDEX(Products!$C$2:$C$29,MATCH($E166,Products!$A$2:$A$29,0))</f>
        <v>Menstrual &amp; hygiene</v>
      </c>
      <c r="H166" s="18" t="s">
        <v>123</v>
      </c>
      <c r="I166" s="18" t="s">
        <v>396</v>
      </c>
      <c r="J166" s="18" t="str">
        <f aca="false">IF(H166="No","-",IF(I166="Available","Good supply",IF(I166="Low stock","Few left",IF(I166="Out of stock","None",IF(I166="Temporarily unavailable","Unavailable","Unknown")))))</f>
        <v>None</v>
      </c>
      <c r="K166" s="18" t="s">
        <v>397</v>
      </c>
      <c r="L166" s="22" t="n">
        <v>46308.6020833333</v>
      </c>
      <c r="M166" s="18" t="n">
        <f aca="false">IF(L166="","",ROUND((Config!$B$2-L166)*1440,0))</f>
        <v>33</v>
      </c>
      <c r="N166" s="18" t="str">
        <f aca="false">IF(K166="Staff verified",Config!$B$4,IF(OR(K166="Authorized student verified",K166="Multiple student reports",K166="Single student report"),Config!$B$3,""))</f>
        <v/>
      </c>
      <c r="O166" s="18" t="str">
        <f aca="false">IF(H166="No","n/a",IF(L166="","Unverified Data",IF(M166&gt;N166,"Stale report",K166)))</f>
        <v>Verified student report</v>
      </c>
      <c r="P166" s="18" t="str">
        <f aca="false">IF(AND(H166="Yes",OR(I166="Available",I166="Low stock")),IF(O166="Stale report","Verify first","Yes"),"No")</f>
        <v>No</v>
      </c>
      <c r="Q166" s="18" t="str">
        <f aca="false">IF(H166="Yes","proposed_pending_approval","n/a")</f>
        <v>proposed_pending_approval</v>
      </c>
      <c r="R166" s="18" t="str">
        <f aca="false">IF(H166="Yes","Retail swipe (proposed) / RU Express / Cash or card","n/a")</f>
        <v>Retail swipe (proposed) / RU Express / Cash or card</v>
      </c>
      <c r="S166" s="21" t="str">
        <f aca="false">INDEX(Products!$I$2:$I$29,MATCH($E166,Products!$A$2:$A$29,0))</f>
        <v>1 package</v>
      </c>
      <c r="T166" s="18" t="n">
        <f aca="false">IF(H166="Yes",Config!$B$5,"")</f>
        <v>75</v>
      </c>
      <c r="U166" s="21" t="str">
        <f aca="false">INDEX(Products!$J$2:$J$29,MATCH($E166,Products!$A$2:$A$29,0))</f>
        <v>No</v>
      </c>
      <c r="V166" s="18" t="s">
        <v>394</v>
      </c>
    </row>
    <row r="167" customFormat="false" ht="15" hidden="false" customHeight="true" outlineLevel="0" collapsed="false">
      <c r="A167" s="18" t="s">
        <v>566</v>
      </c>
      <c r="B167" s="18" t="s">
        <v>173</v>
      </c>
      <c r="C167" s="21" t="str">
        <f aca="false">INDEX(Locations!$B$2:$B$9,MATCH($B167,Locations!$A$2:$A$9,0))</f>
        <v>Woody's Cafe</v>
      </c>
      <c r="D167" s="21" t="str">
        <f aca="false">INDEX(Locations!$C$2:$C$9,MATCH($B167,Locations!$A$2:$A$9,0))</f>
        <v>Busch</v>
      </c>
      <c r="E167" s="18" t="s">
        <v>363</v>
      </c>
      <c r="F167" s="21" t="str">
        <f aca="false">INDEX(Products!$B$2:$B$29,MATCH($E167,Products!$A$2:$A$29,0))</f>
        <v>Tampax Pearl Tampons</v>
      </c>
      <c r="G167" s="21" t="str">
        <f aca="false">INDEX(Products!$C$2:$C$29,MATCH($E167,Products!$A$2:$A$29,0))</f>
        <v>Menstrual &amp; hygiene</v>
      </c>
      <c r="H167" s="18" t="s">
        <v>123</v>
      </c>
      <c r="I167" s="18" t="s">
        <v>392</v>
      </c>
      <c r="J167" s="18" t="str">
        <f aca="false">IF(H167="No","-",IF(I167="Available","Good supply",IF(I167="Low stock","Few left",IF(I167="Out of stock","None",IF(I167="Temporarily unavailable","Unavailable","Unknown")))))</f>
        <v>Good supply</v>
      </c>
      <c r="K167" s="18" t="s">
        <v>393</v>
      </c>
      <c r="L167" s="22" t="n">
        <v>46308.4215277778</v>
      </c>
      <c r="M167" s="18" t="n">
        <f aca="false">IF(L167="","",ROUND((Config!$B$2-L167)*1440,0))</f>
        <v>293</v>
      </c>
      <c r="N167" s="18" t="n">
        <f aca="false">IF(K167="Staff verified",Config!$B$4,IF(OR(K167="Authorized student verified",K167="Multiple student reports",K167="Single student report"),Config!$B$3,""))</f>
        <v>240</v>
      </c>
      <c r="O167" s="18" t="str">
        <f aca="false">IF(H167="No","n/a",IF(L167="","Unverified Data",IF(M167&gt;N167,"Stale report",K167)))</f>
        <v>Stale report</v>
      </c>
      <c r="P167" s="18" t="str">
        <f aca="false">IF(AND(H167="Yes",OR(I167="Available",I167="Low stock")),IF(O167="Stale report","Verify first","Yes"),"No")</f>
        <v>Verify first</v>
      </c>
      <c r="Q167" s="18" t="str">
        <f aca="false">IF(H167="Yes","proposed_pending_approval","n/a")</f>
        <v>proposed_pending_approval</v>
      </c>
      <c r="R167" s="18" t="str">
        <f aca="false">IF(H167="Yes","Retail swipe (proposed) / RU Express / Cash or card","n/a")</f>
        <v>Retail swipe (proposed) / RU Express / Cash or card</v>
      </c>
      <c r="S167" s="21" t="str">
        <f aca="false">INDEX(Products!$I$2:$I$29,MATCH($E167,Products!$A$2:$A$29,0))</f>
        <v>1 package</v>
      </c>
      <c r="T167" s="18" t="n">
        <f aca="false">IF(H167="Yes",Config!$B$5,"")</f>
        <v>75</v>
      </c>
      <c r="U167" s="21" t="str">
        <f aca="false">INDEX(Products!$J$2:$J$29,MATCH($E167,Products!$A$2:$A$29,0))</f>
        <v>No</v>
      </c>
      <c r="V167" s="18" t="s">
        <v>394</v>
      </c>
    </row>
    <row r="168" customFormat="false" ht="15" hidden="false" customHeight="true" outlineLevel="0" collapsed="false">
      <c r="A168" s="18" t="s">
        <v>567</v>
      </c>
      <c r="B168" s="18" t="s">
        <v>173</v>
      </c>
      <c r="C168" s="21" t="str">
        <f aca="false">INDEX(Locations!$B$2:$B$9,MATCH($B168,Locations!$A$2:$A$9,0))</f>
        <v>Woody's Cafe</v>
      </c>
      <c r="D168" s="21" t="str">
        <f aca="false">INDEX(Locations!$C$2:$C$9,MATCH($B168,Locations!$A$2:$A$9,0))</f>
        <v>Busch</v>
      </c>
      <c r="E168" s="18" t="s">
        <v>368</v>
      </c>
      <c r="F168" s="21" t="str">
        <f aca="false">INDEX(Products!$B$2:$B$29,MATCH($E168,Products!$A$2:$A$29,0))</f>
        <v>Purell Advanced Hand Sanitizer</v>
      </c>
      <c r="G168" s="21" t="str">
        <f aca="false">INDEX(Products!$C$2:$C$29,MATCH($E168,Products!$A$2:$A$29,0))</f>
        <v>Menstrual &amp; hygiene</v>
      </c>
      <c r="H168" s="18" t="s">
        <v>212</v>
      </c>
      <c r="I168" s="18" t="s">
        <v>487</v>
      </c>
      <c r="J168" s="18" t="str">
        <f aca="false">IF(H168="No","-",IF(I168="Available","Good supply",IF(I168="Low stock","Few left",IF(I168="Out of stock","None",IF(I168="Temporarily unavailable","Unavailable","Unknown")))))</f>
        <v>-</v>
      </c>
      <c r="K168" s="18"/>
      <c r="L168" s="22"/>
      <c r="M168" s="18" t="str">
        <f aca="false">IF(L168="","",ROUND((Config!$B$2-L168)*1440,0))</f>
        <v/>
      </c>
      <c r="N168" s="18" t="str">
        <f aca="false">IF(K168="Staff verified",Config!$B$4,IF(OR(K168="Authorized student verified",K168="Multiple student reports",K168="Single student report"),Config!$B$3,""))</f>
        <v/>
      </c>
      <c r="O168" s="18" t="str">
        <f aca="false">IF(H168="No","n/a",IF(L168="","Unverified Data",IF(M168&gt;N168,"Stale report",K168)))</f>
        <v>n/a</v>
      </c>
      <c r="P168" s="18" t="str">
        <f aca="false">IF(AND(H168="Yes",OR(I168="Available",I168="Low stock")),IF(O168="Stale report","Verify first","Yes"),"No")</f>
        <v>No</v>
      </c>
      <c r="Q168" s="18" t="str">
        <f aca="false">IF(H168="Yes","proposed_pending_approval","n/a")</f>
        <v>n/a</v>
      </c>
      <c r="R168" s="18" t="str">
        <f aca="false">IF(H168="Yes","Retail swipe (proposed) / RU Express / Cash or card","n/a")</f>
        <v>n/a</v>
      </c>
      <c r="S168" s="21" t="str">
        <f aca="false">INDEX(Products!$I$2:$I$29,MATCH($E168,Products!$A$2:$A$29,0))</f>
        <v>1 bottle</v>
      </c>
      <c r="T168" s="18" t="str">
        <f aca="false">IF(H168="Yes",Config!$B$5,"")</f>
        <v/>
      </c>
      <c r="U168" s="21" t="str">
        <f aca="false">INDEX(Products!$J$2:$J$29,MATCH($E168,Products!$A$2:$A$29,0))</f>
        <v>No</v>
      </c>
      <c r="V168" s="18" t="s">
        <v>394</v>
      </c>
    </row>
    <row r="169" customFormat="false" ht="15" hidden="false" customHeight="true" outlineLevel="0" collapsed="false">
      <c r="A169" s="18" t="s">
        <v>568</v>
      </c>
      <c r="B169" s="18" t="s">
        <v>173</v>
      </c>
      <c r="C169" s="21" t="str">
        <f aca="false">INDEX(Locations!$B$2:$B$9,MATCH($B169,Locations!$A$2:$A$9,0))</f>
        <v>Woody's Cafe</v>
      </c>
      <c r="D169" s="21" t="str">
        <f aca="false">INDEX(Locations!$C$2:$C$9,MATCH($B169,Locations!$A$2:$A$9,0))</f>
        <v>Busch</v>
      </c>
      <c r="E169" s="18" t="s">
        <v>374</v>
      </c>
      <c r="F169" s="21" t="str">
        <f aca="false">INDEX(Products!$B$2:$B$29,MATCH($E169,Products!$A$2:$A$29,0))</f>
        <v>Disposable face masks (brand varies)</v>
      </c>
      <c r="G169" s="21" t="str">
        <f aca="false">INDEX(Products!$C$2:$C$29,MATCH($E169,Products!$A$2:$A$29,0))</f>
        <v>Menstrual &amp; hygiene</v>
      </c>
      <c r="H169" s="18" t="s">
        <v>212</v>
      </c>
      <c r="I169" s="18" t="s">
        <v>487</v>
      </c>
      <c r="J169" s="18" t="str">
        <f aca="false">IF(H169="No","-",IF(I169="Available","Good supply",IF(I169="Low stock","Few left",IF(I169="Out of stock","None",IF(I169="Temporarily unavailable","Unavailable","Unknown")))))</f>
        <v>-</v>
      </c>
      <c r="K169" s="18"/>
      <c r="L169" s="22"/>
      <c r="M169" s="18" t="str">
        <f aca="false">IF(L169="","",ROUND((Config!$B$2-L169)*1440,0))</f>
        <v/>
      </c>
      <c r="N169" s="18" t="str">
        <f aca="false">IF(K169="Staff verified",Config!$B$4,IF(OR(K169="Authorized student verified",K169="Multiple student reports",K169="Single student report"),Config!$B$3,""))</f>
        <v/>
      </c>
      <c r="O169" s="18" t="str">
        <f aca="false">IF(H169="No","n/a",IF(L169="","Unverified Data",IF(M169&gt;N169,"Stale report",K169)))</f>
        <v>n/a</v>
      </c>
      <c r="P169" s="18" t="str">
        <f aca="false">IF(AND(H169="Yes",OR(I169="Available",I169="Low stock")),IF(O169="Stale report","Verify first","Yes"),"No")</f>
        <v>No</v>
      </c>
      <c r="Q169" s="18" t="str">
        <f aca="false">IF(H169="Yes","proposed_pending_approval","n/a")</f>
        <v>n/a</v>
      </c>
      <c r="R169" s="18" t="str">
        <f aca="false">IF(H169="Yes","Retail swipe (proposed) / RU Express / Cash or card","n/a")</f>
        <v>n/a</v>
      </c>
      <c r="S169" s="21" t="str">
        <f aca="false">INDEX(Products!$I$2:$I$29,MATCH($E169,Products!$A$2:$A$29,0))</f>
        <v>1 pack</v>
      </c>
      <c r="T169" s="18" t="str">
        <f aca="false">IF(H169="Yes",Config!$B$5,"")</f>
        <v/>
      </c>
      <c r="U169" s="21" t="str">
        <f aca="false">INDEX(Products!$J$2:$J$29,MATCH($E169,Products!$A$2:$A$29,0))</f>
        <v>No</v>
      </c>
      <c r="V169" s="18" t="s">
        <v>394</v>
      </c>
    </row>
    <row r="170" customFormat="false" ht="15" hidden="false" customHeight="true" outlineLevel="0" collapsed="false">
      <c r="A170" s="18" t="s">
        <v>569</v>
      </c>
      <c r="B170" s="18" t="s">
        <v>178</v>
      </c>
      <c r="C170" s="21" t="str">
        <f aca="false">INDEX(Locations!$B$2:$B$9,MATCH($B170,Locations!$A$2:$A$9,0))</f>
        <v>Cook Cafe</v>
      </c>
      <c r="D170" s="21" t="str">
        <f aca="false">INDEX(Locations!$C$2:$C$9,MATCH($B170,Locations!$A$2:$A$9,0))</f>
        <v>Cook/Douglass</v>
      </c>
      <c r="E170" s="18" t="s">
        <v>204</v>
      </c>
      <c r="F170" s="21" t="str">
        <f aca="false">INDEX(Products!$B$2:$B$29,MATCH($E170,Products!$A$2:$A$29,0))</f>
        <v>Tylenol Extra Strength</v>
      </c>
      <c r="G170" s="21" t="str">
        <f aca="false">INDEX(Products!$C$2:$C$29,MATCH($E170,Products!$A$2:$A$29,0))</f>
        <v>Pain &amp; fever</v>
      </c>
      <c r="H170" s="18" t="s">
        <v>123</v>
      </c>
      <c r="I170" s="18" t="s">
        <v>392</v>
      </c>
      <c r="J170" s="18" t="str">
        <f aca="false">IF(H170="No","-",IF(I170="Available","Good supply",IF(I170="Low stock","Few left",IF(I170="Out of stock","None",IF(I170="Temporarily unavailable","Unavailable","Unknown")))))</f>
        <v>Good supply</v>
      </c>
      <c r="K170" s="18" t="s">
        <v>393</v>
      </c>
      <c r="L170" s="22" t="n">
        <v>46308.5305555556</v>
      </c>
      <c r="M170" s="18" t="n">
        <f aca="false">IF(L170="","",ROUND((Config!$B$2-L170)*1440,0))</f>
        <v>136</v>
      </c>
      <c r="N170" s="18" t="n">
        <f aca="false">IF(K170="Staff verified",Config!$B$4,IF(OR(K170="Authorized student verified",K170="Multiple student reports",K170="Single student report"),Config!$B$3,""))</f>
        <v>240</v>
      </c>
      <c r="O170" s="18" t="str">
        <f aca="false">IF(H170="No","n/a",IF(L170="","Unverified Data",IF(M170&gt;N170,"Stale report",K170)))</f>
        <v>Staff verified</v>
      </c>
      <c r="P170" s="18" t="str">
        <f aca="false">IF(AND(H170="Yes",OR(I170="Available",I170="Low stock")),IF(O170="Stale report","Verify first","Yes"),"No")</f>
        <v>Yes</v>
      </c>
      <c r="Q170" s="18" t="str">
        <f aca="false">IF(H170="Yes","proposed_pending_approval","n/a")</f>
        <v>proposed_pending_approval</v>
      </c>
      <c r="R170" s="18" t="str">
        <f aca="false">IF(H170="Yes","Retail swipe (proposed) / RU Express / Cash or card","n/a")</f>
        <v>Retail swipe (proposed) / RU Express / Cash or card</v>
      </c>
      <c r="S170" s="21" t="str">
        <f aca="false">INDEX(Products!$I$2:$I$29,MATCH($E170,Products!$A$2:$A$29,0))</f>
        <v>1 package</v>
      </c>
      <c r="T170" s="18" t="n">
        <f aca="false">IF(H170="Yes",Config!$B$5,"")</f>
        <v>75</v>
      </c>
      <c r="U170" s="21" t="str">
        <f aca="false">INDEX(Products!$J$2:$J$29,MATCH($E170,Products!$A$2:$A$29,0))</f>
        <v>No</v>
      </c>
      <c r="V170" s="18" t="s">
        <v>394</v>
      </c>
    </row>
    <row r="171" customFormat="false" ht="15" hidden="false" customHeight="true" outlineLevel="0" collapsed="false">
      <c r="A171" s="18" t="s">
        <v>570</v>
      </c>
      <c r="B171" s="18" t="s">
        <v>178</v>
      </c>
      <c r="C171" s="21" t="str">
        <f aca="false">INDEX(Locations!$B$2:$B$9,MATCH($B171,Locations!$A$2:$A$9,0))</f>
        <v>Cook Cafe</v>
      </c>
      <c r="D171" s="21" t="str">
        <f aca="false">INDEX(Locations!$C$2:$C$9,MATCH($B171,Locations!$A$2:$A$9,0))</f>
        <v>Cook/Douglass</v>
      </c>
      <c r="E171" s="18" t="s">
        <v>215</v>
      </c>
      <c r="F171" s="21" t="str">
        <f aca="false">INDEX(Products!$B$2:$B$29,MATCH($E171,Products!$A$2:$A$29,0))</f>
        <v>Advil</v>
      </c>
      <c r="G171" s="21" t="str">
        <f aca="false">INDEX(Products!$C$2:$C$29,MATCH($E171,Products!$A$2:$A$29,0))</f>
        <v>Pain &amp; fever</v>
      </c>
      <c r="H171" s="18" t="s">
        <v>123</v>
      </c>
      <c r="I171" s="18" t="s">
        <v>404</v>
      </c>
      <c r="J171" s="18" t="str">
        <f aca="false">IF(H171="No","-",IF(I171="Available","Good supply",IF(I171="Low stock","Few left",IF(I171="Out of stock","None",IF(I171="Temporarily unavailable","Unavailable","Unknown")))))</f>
        <v>Few left</v>
      </c>
      <c r="K171" s="18" t="s">
        <v>409</v>
      </c>
      <c r="L171" s="22"/>
      <c r="M171" s="18" t="str">
        <f aca="false">IF(L171="","",ROUND((Config!$B$2-L171)*1440,0))</f>
        <v/>
      </c>
      <c r="N171" s="18" t="str">
        <f aca="false">IF(K171="Staff verified",Config!$B$4,IF(OR(K171="Authorized student verified",K171="Multiple student reports",K171="Single student report"),Config!$B$3,""))</f>
        <v/>
      </c>
      <c r="O171" s="18" t="str">
        <f aca="false">IF(H171="No","n/a",IF(L171="","Unverified Data",IF(M171&gt;N171,"Stale report",K171)))</f>
        <v>Unverified Data</v>
      </c>
      <c r="P171" s="18" t="str">
        <f aca="false">IF(AND(H171="Yes",OR(I171="Available",I171="Low stock")),IF(O171="Stale report","Verify first","Yes"),"No")</f>
        <v>Yes</v>
      </c>
      <c r="Q171" s="18" t="str">
        <f aca="false">IF(H171="Yes","proposed_pending_approval","n/a")</f>
        <v>proposed_pending_approval</v>
      </c>
      <c r="R171" s="18" t="str">
        <f aca="false">IF(H171="Yes","Retail swipe (proposed) / RU Express / Cash or card","n/a")</f>
        <v>Retail swipe (proposed) / RU Express / Cash or card</v>
      </c>
      <c r="S171" s="21" t="str">
        <f aca="false">INDEX(Products!$I$2:$I$29,MATCH($E171,Products!$A$2:$A$29,0))</f>
        <v>1 package</v>
      </c>
      <c r="T171" s="18" t="n">
        <f aca="false">IF(H171="Yes",Config!$B$5,"")</f>
        <v>75</v>
      </c>
      <c r="U171" s="21" t="str">
        <f aca="false">INDEX(Products!$J$2:$J$29,MATCH($E171,Products!$A$2:$A$29,0))</f>
        <v>No</v>
      </c>
      <c r="V171" s="18" t="s">
        <v>394</v>
      </c>
    </row>
    <row r="172" customFormat="false" ht="15" hidden="false" customHeight="true" outlineLevel="0" collapsed="false">
      <c r="A172" s="18" t="s">
        <v>571</v>
      </c>
      <c r="B172" s="18" t="s">
        <v>178</v>
      </c>
      <c r="C172" s="21" t="str">
        <f aca="false">INDEX(Locations!$B$2:$B$9,MATCH($B172,Locations!$A$2:$A$9,0))</f>
        <v>Cook Cafe</v>
      </c>
      <c r="D172" s="21" t="str">
        <f aca="false">INDEX(Locations!$C$2:$C$9,MATCH($B172,Locations!$A$2:$A$9,0))</f>
        <v>Cook/Douglass</v>
      </c>
      <c r="E172" s="18" t="s">
        <v>220</v>
      </c>
      <c r="F172" s="21" t="str">
        <f aca="false">INDEX(Products!$B$2:$B$29,MATCH($E172,Products!$A$2:$A$29,0))</f>
        <v>Aleve</v>
      </c>
      <c r="G172" s="21" t="str">
        <f aca="false">INDEX(Products!$C$2:$C$29,MATCH($E172,Products!$A$2:$A$29,0))</f>
        <v>Pain &amp; fever</v>
      </c>
      <c r="H172" s="18" t="s">
        <v>212</v>
      </c>
      <c r="I172" s="18" t="s">
        <v>487</v>
      </c>
      <c r="J172" s="18" t="str">
        <f aca="false">IF(H172="No","-",IF(I172="Available","Good supply",IF(I172="Low stock","Few left",IF(I172="Out of stock","None",IF(I172="Temporarily unavailable","Unavailable","Unknown")))))</f>
        <v>-</v>
      </c>
      <c r="K172" s="18"/>
      <c r="L172" s="22"/>
      <c r="M172" s="18" t="str">
        <f aca="false">IF(L172="","",ROUND((Config!$B$2-L172)*1440,0))</f>
        <v/>
      </c>
      <c r="N172" s="18" t="str">
        <f aca="false">IF(K172="Staff verified",Config!$B$4,IF(OR(K172="Authorized student verified",K172="Multiple student reports",K172="Single student report"),Config!$B$3,""))</f>
        <v/>
      </c>
      <c r="O172" s="18" t="str">
        <f aca="false">IF(H172="No","n/a",IF(L172="","Unverified Data",IF(M172&gt;N172,"Stale report",K172)))</f>
        <v>n/a</v>
      </c>
      <c r="P172" s="18" t="str">
        <f aca="false">IF(AND(H172="Yes",OR(I172="Available",I172="Low stock")),IF(O172="Stale report","Verify first","Yes"),"No")</f>
        <v>No</v>
      </c>
      <c r="Q172" s="18" t="str">
        <f aca="false">IF(H172="Yes","proposed_pending_approval","n/a")</f>
        <v>n/a</v>
      </c>
      <c r="R172" s="18" t="str">
        <f aca="false">IF(H172="Yes","Retail swipe (proposed) / RU Express / Cash or card","n/a")</f>
        <v>n/a</v>
      </c>
      <c r="S172" s="21" t="str">
        <f aca="false">INDEX(Products!$I$2:$I$29,MATCH($E172,Products!$A$2:$A$29,0))</f>
        <v>1 package</v>
      </c>
      <c r="T172" s="18" t="str">
        <f aca="false">IF(H172="Yes",Config!$B$5,"")</f>
        <v/>
      </c>
      <c r="U172" s="21" t="str">
        <f aca="false">INDEX(Products!$J$2:$J$29,MATCH($E172,Products!$A$2:$A$29,0))</f>
        <v>No</v>
      </c>
      <c r="V172" s="18" t="s">
        <v>394</v>
      </c>
    </row>
    <row r="173" customFormat="false" ht="15" hidden="false" customHeight="true" outlineLevel="0" collapsed="false">
      <c r="A173" s="18" t="s">
        <v>572</v>
      </c>
      <c r="B173" s="18" t="s">
        <v>178</v>
      </c>
      <c r="C173" s="21" t="str">
        <f aca="false">INDEX(Locations!$B$2:$B$9,MATCH($B173,Locations!$A$2:$A$9,0))</f>
        <v>Cook Cafe</v>
      </c>
      <c r="D173" s="21" t="str">
        <f aca="false">INDEX(Locations!$C$2:$C$9,MATCH($B173,Locations!$A$2:$A$9,0))</f>
        <v>Cook/Douglass</v>
      </c>
      <c r="E173" s="18" t="s">
        <v>226</v>
      </c>
      <c r="F173" s="21" t="str">
        <f aca="false">INDEX(Products!$B$2:$B$29,MATCH($E173,Products!$A$2:$A$29,0))</f>
        <v>Excedrin Migraine</v>
      </c>
      <c r="G173" s="21" t="str">
        <f aca="false">INDEX(Products!$C$2:$C$29,MATCH($E173,Products!$A$2:$A$29,0))</f>
        <v>Pain &amp; fever</v>
      </c>
      <c r="H173" s="18" t="s">
        <v>212</v>
      </c>
      <c r="I173" s="18" t="s">
        <v>487</v>
      </c>
      <c r="J173" s="18" t="str">
        <f aca="false">IF(H173="No","-",IF(I173="Available","Good supply",IF(I173="Low stock","Few left",IF(I173="Out of stock","None",IF(I173="Temporarily unavailable","Unavailable","Unknown")))))</f>
        <v>-</v>
      </c>
      <c r="K173" s="18"/>
      <c r="L173" s="22"/>
      <c r="M173" s="18" t="str">
        <f aca="false">IF(L173="","",ROUND((Config!$B$2-L173)*1440,0))</f>
        <v/>
      </c>
      <c r="N173" s="18" t="str">
        <f aca="false">IF(K173="Staff verified",Config!$B$4,IF(OR(K173="Authorized student verified",K173="Multiple student reports",K173="Single student report"),Config!$B$3,""))</f>
        <v/>
      </c>
      <c r="O173" s="18" t="str">
        <f aca="false">IF(H173="No","n/a",IF(L173="","Unverified Data",IF(M173&gt;N173,"Stale report",K173)))</f>
        <v>n/a</v>
      </c>
      <c r="P173" s="18" t="str">
        <f aca="false">IF(AND(H173="Yes",OR(I173="Available",I173="Low stock")),IF(O173="Stale report","Verify first","Yes"),"No")</f>
        <v>No</v>
      </c>
      <c r="Q173" s="18" t="str">
        <f aca="false">IF(H173="Yes","proposed_pending_approval","n/a")</f>
        <v>n/a</v>
      </c>
      <c r="R173" s="18" t="str">
        <f aca="false">IF(H173="Yes","Retail swipe (proposed) / RU Express / Cash or card","n/a")</f>
        <v>n/a</v>
      </c>
      <c r="S173" s="21" t="str">
        <f aca="false">INDEX(Products!$I$2:$I$29,MATCH($E173,Products!$A$2:$A$29,0))</f>
        <v>1 package</v>
      </c>
      <c r="T173" s="18" t="str">
        <f aca="false">IF(H173="Yes",Config!$B$5,"")</f>
        <v/>
      </c>
      <c r="U173" s="21" t="str">
        <f aca="false">INDEX(Products!$J$2:$J$29,MATCH($E173,Products!$A$2:$A$29,0))</f>
        <v>No</v>
      </c>
      <c r="V173" s="18" t="s">
        <v>394</v>
      </c>
    </row>
    <row r="174" customFormat="false" ht="15" hidden="false" customHeight="true" outlineLevel="0" collapsed="false">
      <c r="A174" s="18" t="s">
        <v>573</v>
      </c>
      <c r="B174" s="18" t="s">
        <v>178</v>
      </c>
      <c r="C174" s="21" t="str">
        <f aca="false">INDEX(Locations!$B$2:$B$9,MATCH($B174,Locations!$A$2:$A$9,0))</f>
        <v>Cook Cafe</v>
      </c>
      <c r="D174" s="21" t="str">
        <f aca="false">INDEX(Locations!$C$2:$C$9,MATCH($B174,Locations!$A$2:$A$9,0))</f>
        <v>Cook/Douglass</v>
      </c>
      <c r="E174" s="18" t="s">
        <v>232</v>
      </c>
      <c r="F174" s="21" t="str">
        <f aca="false">INDEX(Products!$B$2:$B$29,MATCH($E174,Products!$A$2:$A$29,0))</f>
        <v>Halls Mentho-Lyptus</v>
      </c>
      <c r="G174" s="21" t="str">
        <f aca="false">INDEX(Products!$C$2:$C$29,MATCH($E174,Products!$A$2:$A$29,0))</f>
        <v>Cold &amp; cough</v>
      </c>
      <c r="H174" s="18" t="s">
        <v>123</v>
      </c>
      <c r="I174" s="18" t="s">
        <v>392</v>
      </c>
      <c r="J174" s="18" t="str">
        <f aca="false">IF(H174="No","-",IF(I174="Available","Good supply",IF(I174="Low stock","Few left",IF(I174="Out of stock","None",IF(I174="Temporarily unavailable","Unavailable","Unknown")))))</f>
        <v>Good supply</v>
      </c>
      <c r="K174" s="18" t="s">
        <v>397</v>
      </c>
      <c r="L174" s="22" t="n">
        <v>46308.6208333333</v>
      </c>
      <c r="M174" s="18" t="n">
        <f aca="false">IF(L174="","",ROUND((Config!$B$2-L174)*1440,0))</f>
        <v>6</v>
      </c>
      <c r="N174" s="18" t="str">
        <f aca="false">IF(K174="Staff verified",Config!$B$4,IF(OR(K174="Authorized student verified",K174="Multiple student reports",K174="Single student report"),Config!$B$3,""))</f>
        <v/>
      </c>
      <c r="O174" s="18" t="str">
        <f aca="false">IF(H174="No","n/a",IF(L174="","Unverified Data",IF(M174&gt;N174,"Stale report",K174)))</f>
        <v>Verified student report</v>
      </c>
      <c r="P174" s="18" t="str">
        <f aca="false">IF(AND(H174="Yes",OR(I174="Available",I174="Low stock")),IF(O174="Stale report","Verify first","Yes"),"No")</f>
        <v>Yes</v>
      </c>
      <c r="Q174" s="18" t="str">
        <f aca="false">IF(H174="Yes","proposed_pending_approval","n/a")</f>
        <v>proposed_pending_approval</v>
      </c>
      <c r="R174" s="18" t="str">
        <f aca="false">IF(H174="Yes","Retail swipe (proposed) / RU Express / Cash or card","n/a")</f>
        <v>Retail swipe (proposed) / RU Express / Cash or card</v>
      </c>
      <c r="S174" s="21" t="str">
        <f aca="false">INDEX(Products!$I$2:$I$29,MATCH($E174,Products!$A$2:$A$29,0))</f>
        <v>2 bags</v>
      </c>
      <c r="T174" s="18" t="n">
        <f aca="false">IF(H174="Yes",Config!$B$5,"")</f>
        <v>75</v>
      </c>
      <c r="U174" s="21" t="str">
        <f aca="false">INDEX(Products!$J$2:$J$29,MATCH($E174,Products!$A$2:$A$29,0))</f>
        <v>No</v>
      </c>
      <c r="V174" s="18" t="s">
        <v>394</v>
      </c>
    </row>
    <row r="175" customFormat="false" ht="15" hidden="false" customHeight="true" outlineLevel="0" collapsed="false">
      <c r="A175" s="18" t="s">
        <v>574</v>
      </c>
      <c r="B175" s="18" t="s">
        <v>178</v>
      </c>
      <c r="C175" s="21" t="str">
        <f aca="false">INDEX(Locations!$B$2:$B$9,MATCH($B175,Locations!$A$2:$A$9,0))</f>
        <v>Cook Cafe</v>
      </c>
      <c r="D175" s="21" t="str">
        <f aca="false">INDEX(Locations!$C$2:$C$9,MATCH($B175,Locations!$A$2:$A$9,0))</f>
        <v>Cook/Douglass</v>
      </c>
      <c r="E175" s="18" t="s">
        <v>240</v>
      </c>
      <c r="F175" s="21" t="str">
        <f aca="false">INDEX(Products!$B$2:$B$29,MATCH($E175,Products!$A$2:$A$29,0))</f>
        <v>Ricola Original Natural Herb</v>
      </c>
      <c r="G175" s="21" t="str">
        <f aca="false">INDEX(Products!$C$2:$C$29,MATCH($E175,Products!$A$2:$A$29,0))</f>
        <v>Cold &amp; cough</v>
      </c>
      <c r="H175" s="18" t="s">
        <v>212</v>
      </c>
      <c r="I175" s="18" t="s">
        <v>487</v>
      </c>
      <c r="J175" s="18" t="str">
        <f aca="false">IF(H175="No","-",IF(I175="Available","Good supply",IF(I175="Low stock","Few left",IF(I175="Out of stock","None",IF(I175="Temporarily unavailable","Unavailable","Unknown")))))</f>
        <v>-</v>
      </c>
      <c r="K175" s="18"/>
      <c r="L175" s="22"/>
      <c r="M175" s="18" t="str">
        <f aca="false">IF(L175="","",ROUND((Config!$B$2-L175)*1440,0))</f>
        <v/>
      </c>
      <c r="N175" s="18" t="str">
        <f aca="false">IF(K175="Staff verified",Config!$B$4,IF(OR(K175="Authorized student verified",K175="Multiple student reports",K175="Single student report"),Config!$B$3,""))</f>
        <v/>
      </c>
      <c r="O175" s="18" t="str">
        <f aca="false">IF(H175="No","n/a",IF(L175="","Unverified Data",IF(M175&gt;N175,"Stale report",K175)))</f>
        <v>n/a</v>
      </c>
      <c r="P175" s="18" t="str">
        <f aca="false">IF(AND(H175="Yes",OR(I175="Available",I175="Low stock")),IF(O175="Stale report","Verify first","Yes"),"No")</f>
        <v>No</v>
      </c>
      <c r="Q175" s="18" t="str">
        <f aca="false">IF(H175="Yes","proposed_pending_approval","n/a")</f>
        <v>n/a</v>
      </c>
      <c r="R175" s="18" t="str">
        <f aca="false">IF(H175="Yes","Retail swipe (proposed) / RU Express / Cash or card","n/a")</f>
        <v>n/a</v>
      </c>
      <c r="S175" s="21" t="str">
        <f aca="false">INDEX(Products!$I$2:$I$29,MATCH($E175,Products!$A$2:$A$29,0))</f>
        <v>2 bags</v>
      </c>
      <c r="T175" s="18" t="str">
        <f aca="false">IF(H175="Yes",Config!$B$5,"")</f>
        <v/>
      </c>
      <c r="U175" s="21" t="str">
        <f aca="false">INDEX(Products!$J$2:$J$29,MATCH($E175,Products!$A$2:$A$29,0))</f>
        <v>No</v>
      </c>
      <c r="V175" s="18" t="s">
        <v>394</v>
      </c>
    </row>
    <row r="176" customFormat="false" ht="15" hidden="false" customHeight="true" outlineLevel="0" collapsed="false">
      <c r="A176" s="18" t="s">
        <v>575</v>
      </c>
      <c r="B176" s="18" t="s">
        <v>178</v>
      </c>
      <c r="C176" s="21" t="str">
        <f aca="false">INDEX(Locations!$B$2:$B$9,MATCH($B176,Locations!$A$2:$A$9,0))</f>
        <v>Cook Cafe</v>
      </c>
      <c r="D176" s="21" t="str">
        <f aca="false">INDEX(Locations!$C$2:$C$9,MATCH($B176,Locations!$A$2:$A$9,0))</f>
        <v>Cook/Douglass</v>
      </c>
      <c r="E176" s="18" t="s">
        <v>245</v>
      </c>
      <c r="F176" s="21" t="str">
        <f aca="false">INDEX(Products!$B$2:$B$29,MATCH($E176,Products!$A$2:$A$29,0))</f>
        <v>Chloraseptic Sore Throat Spray</v>
      </c>
      <c r="G176" s="21" t="str">
        <f aca="false">INDEX(Products!$C$2:$C$29,MATCH($E176,Products!$A$2:$A$29,0))</f>
        <v>Cold &amp; cough</v>
      </c>
      <c r="H176" s="18" t="s">
        <v>212</v>
      </c>
      <c r="I176" s="18" t="s">
        <v>487</v>
      </c>
      <c r="J176" s="18" t="str">
        <f aca="false">IF(H176="No","-",IF(I176="Available","Good supply",IF(I176="Low stock","Few left",IF(I176="Out of stock","None",IF(I176="Temporarily unavailable","Unavailable","Unknown")))))</f>
        <v>-</v>
      </c>
      <c r="K176" s="18"/>
      <c r="L176" s="22"/>
      <c r="M176" s="18" t="str">
        <f aca="false">IF(L176="","",ROUND((Config!$B$2-L176)*1440,0))</f>
        <v/>
      </c>
      <c r="N176" s="18" t="str">
        <f aca="false">IF(K176="Staff verified",Config!$B$4,IF(OR(K176="Authorized student verified",K176="Multiple student reports",K176="Single student report"),Config!$B$3,""))</f>
        <v/>
      </c>
      <c r="O176" s="18" t="str">
        <f aca="false">IF(H176="No","n/a",IF(L176="","Unverified Data",IF(M176&gt;N176,"Stale report",K176)))</f>
        <v>n/a</v>
      </c>
      <c r="P176" s="18" t="str">
        <f aca="false">IF(AND(H176="Yes",OR(I176="Available",I176="Low stock")),IF(O176="Stale report","Verify first","Yes"),"No")</f>
        <v>No</v>
      </c>
      <c r="Q176" s="18" t="str">
        <f aca="false">IF(H176="Yes","proposed_pending_approval","n/a")</f>
        <v>n/a</v>
      </c>
      <c r="R176" s="18" t="str">
        <f aca="false">IF(H176="Yes","Retail swipe (proposed) / RU Express / Cash or card","n/a")</f>
        <v>n/a</v>
      </c>
      <c r="S176" s="21" t="str">
        <f aca="false">INDEX(Products!$I$2:$I$29,MATCH($E176,Products!$A$2:$A$29,0))</f>
        <v>1 bottle</v>
      </c>
      <c r="T176" s="18" t="str">
        <f aca="false">IF(H176="Yes",Config!$B$5,"")</f>
        <v/>
      </c>
      <c r="U176" s="21" t="str">
        <f aca="false">INDEX(Products!$J$2:$J$29,MATCH($E176,Products!$A$2:$A$29,0))</f>
        <v>No</v>
      </c>
      <c r="V176" s="18" t="s">
        <v>394</v>
      </c>
    </row>
    <row r="177" customFormat="false" ht="15" hidden="false" customHeight="true" outlineLevel="0" collapsed="false">
      <c r="A177" s="18" t="s">
        <v>576</v>
      </c>
      <c r="B177" s="18" t="s">
        <v>178</v>
      </c>
      <c r="C177" s="21" t="str">
        <f aca="false">INDEX(Locations!$B$2:$B$9,MATCH($B177,Locations!$A$2:$A$9,0))</f>
        <v>Cook Cafe</v>
      </c>
      <c r="D177" s="21" t="str">
        <f aca="false">INDEX(Locations!$C$2:$C$9,MATCH($B177,Locations!$A$2:$A$9,0))</f>
        <v>Cook/Douglass</v>
      </c>
      <c r="E177" s="18" t="s">
        <v>251</v>
      </c>
      <c r="F177" s="21" t="str">
        <f aca="false">INDEX(Products!$B$2:$B$29,MATCH($E177,Products!$A$2:$A$29,0))</f>
        <v>Mucinex</v>
      </c>
      <c r="G177" s="21" t="str">
        <f aca="false">INDEX(Products!$C$2:$C$29,MATCH($E177,Products!$A$2:$A$29,0))</f>
        <v>Cold &amp; cough</v>
      </c>
      <c r="H177" s="18" t="s">
        <v>123</v>
      </c>
      <c r="I177" s="18" t="s">
        <v>392</v>
      </c>
      <c r="J177" s="18" t="str">
        <f aca="false">IF(H177="No","-",IF(I177="Available","Good supply",IF(I177="Low stock","Few left",IF(I177="Out of stock","None",IF(I177="Temporarily unavailable","Unavailable","Unknown")))))</f>
        <v>Good supply</v>
      </c>
      <c r="K177" s="18" t="s">
        <v>393</v>
      </c>
      <c r="L177" s="22" t="n">
        <v>46308.5569444444</v>
      </c>
      <c r="M177" s="18" t="n">
        <f aca="false">IF(L177="","",ROUND((Config!$B$2-L177)*1440,0))</f>
        <v>98</v>
      </c>
      <c r="N177" s="18" t="n">
        <f aca="false">IF(K177="Staff verified",Config!$B$4,IF(OR(K177="Authorized student verified",K177="Multiple student reports",K177="Single student report"),Config!$B$3,""))</f>
        <v>240</v>
      </c>
      <c r="O177" s="18" t="str">
        <f aca="false">IF(H177="No","n/a",IF(L177="","Unverified Data",IF(M177&gt;N177,"Stale report",K177)))</f>
        <v>Staff verified</v>
      </c>
      <c r="P177" s="18" t="str">
        <f aca="false">IF(AND(H177="Yes",OR(I177="Available",I177="Low stock")),IF(O177="Stale report","Verify first","Yes"),"No")</f>
        <v>Yes</v>
      </c>
      <c r="Q177" s="18" t="str">
        <f aca="false">IF(H177="Yes","proposed_pending_approval","n/a")</f>
        <v>proposed_pending_approval</v>
      </c>
      <c r="R177" s="18" t="str">
        <f aca="false">IF(H177="Yes","Retail swipe (proposed) / RU Express / Cash or card","n/a")</f>
        <v>Retail swipe (proposed) / RU Express / Cash or card</v>
      </c>
      <c r="S177" s="21" t="str">
        <f aca="false">INDEX(Products!$I$2:$I$29,MATCH($E177,Products!$A$2:$A$29,0))</f>
        <v>1 package</v>
      </c>
      <c r="T177" s="18" t="n">
        <f aca="false">IF(H177="Yes",Config!$B$5,"")</f>
        <v>75</v>
      </c>
      <c r="U177" s="21" t="str">
        <f aca="false">INDEX(Products!$J$2:$J$29,MATCH($E177,Products!$A$2:$A$29,0))</f>
        <v>No</v>
      </c>
      <c r="V177" s="18" t="s">
        <v>394</v>
      </c>
    </row>
    <row r="178" customFormat="false" ht="15" hidden="false" customHeight="true" outlineLevel="0" collapsed="false">
      <c r="A178" s="18" t="s">
        <v>577</v>
      </c>
      <c r="B178" s="18" t="s">
        <v>178</v>
      </c>
      <c r="C178" s="21" t="str">
        <f aca="false">INDEX(Locations!$B$2:$B$9,MATCH($B178,Locations!$A$2:$A$9,0))</f>
        <v>Cook Cafe</v>
      </c>
      <c r="D178" s="21" t="str">
        <f aca="false">INDEX(Locations!$C$2:$C$9,MATCH($B178,Locations!$A$2:$A$9,0))</f>
        <v>Cook/Douglass</v>
      </c>
      <c r="E178" s="18" t="s">
        <v>257</v>
      </c>
      <c r="F178" s="21" t="str">
        <f aca="false">INDEX(Products!$B$2:$B$29,MATCH($E178,Products!$A$2:$A$29,0))</f>
        <v>Robitussin DM</v>
      </c>
      <c r="G178" s="21" t="str">
        <f aca="false">INDEX(Products!$C$2:$C$29,MATCH($E178,Products!$A$2:$A$29,0))</f>
        <v>Cold &amp; cough</v>
      </c>
      <c r="H178" s="18" t="s">
        <v>212</v>
      </c>
      <c r="I178" s="18" t="s">
        <v>487</v>
      </c>
      <c r="J178" s="18" t="str">
        <f aca="false">IF(H178="No","-",IF(I178="Available","Good supply",IF(I178="Low stock","Few left",IF(I178="Out of stock","None",IF(I178="Temporarily unavailable","Unavailable","Unknown")))))</f>
        <v>-</v>
      </c>
      <c r="K178" s="18"/>
      <c r="L178" s="22"/>
      <c r="M178" s="18" t="str">
        <f aca="false">IF(L178="","",ROUND((Config!$B$2-L178)*1440,0))</f>
        <v/>
      </c>
      <c r="N178" s="18" t="str">
        <f aca="false">IF(K178="Staff verified",Config!$B$4,IF(OR(K178="Authorized student verified",K178="Multiple student reports",K178="Single student report"),Config!$B$3,""))</f>
        <v/>
      </c>
      <c r="O178" s="18" t="str">
        <f aca="false">IF(H178="No","n/a",IF(L178="","Unverified Data",IF(M178&gt;N178,"Stale report",K178)))</f>
        <v>n/a</v>
      </c>
      <c r="P178" s="18" t="str">
        <f aca="false">IF(AND(H178="Yes",OR(I178="Available",I178="Low stock")),IF(O178="Stale report","Verify first","Yes"),"No")</f>
        <v>No</v>
      </c>
      <c r="Q178" s="18" t="str">
        <f aca="false">IF(H178="Yes","proposed_pending_approval","n/a")</f>
        <v>n/a</v>
      </c>
      <c r="R178" s="18" t="str">
        <f aca="false">IF(H178="Yes","Retail swipe (proposed) / RU Express / Cash or card","n/a")</f>
        <v>n/a</v>
      </c>
      <c r="S178" s="21" t="str">
        <f aca="false">INDEX(Products!$I$2:$I$29,MATCH($E178,Products!$A$2:$A$29,0))</f>
        <v>1 bottle</v>
      </c>
      <c r="T178" s="18" t="str">
        <f aca="false">IF(H178="Yes",Config!$B$5,"")</f>
        <v/>
      </c>
      <c r="U178" s="21" t="str">
        <f aca="false">INDEX(Products!$J$2:$J$29,MATCH($E178,Products!$A$2:$A$29,0))</f>
        <v>No</v>
      </c>
      <c r="V178" s="18" t="s">
        <v>394</v>
      </c>
    </row>
    <row r="179" customFormat="false" ht="15" hidden="false" customHeight="true" outlineLevel="0" collapsed="false">
      <c r="A179" s="18" t="s">
        <v>578</v>
      </c>
      <c r="B179" s="18" t="s">
        <v>178</v>
      </c>
      <c r="C179" s="21" t="str">
        <f aca="false">INDEX(Locations!$B$2:$B$9,MATCH($B179,Locations!$A$2:$A$9,0))</f>
        <v>Cook Cafe</v>
      </c>
      <c r="D179" s="21" t="str">
        <f aca="false">INDEX(Locations!$C$2:$C$9,MATCH($B179,Locations!$A$2:$A$9,0))</f>
        <v>Cook/Douglass</v>
      </c>
      <c r="E179" s="18" t="s">
        <v>263</v>
      </c>
      <c r="F179" s="21" t="str">
        <f aca="false">INDEX(Products!$B$2:$B$29,MATCH($E179,Products!$A$2:$A$29,0))</f>
        <v>Simply Saline Nasal Mist</v>
      </c>
      <c r="G179" s="21" t="str">
        <f aca="false">INDEX(Products!$C$2:$C$29,MATCH($E179,Products!$A$2:$A$29,0))</f>
        <v>Cold &amp; cough</v>
      </c>
      <c r="H179" s="18" t="s">
        <v>212</v>
      </c>
      <c r="I179" s="18" t="s">
        <v>487</v>
      </c>
      <c r="J179" s="18" t="str">
        <f aca="false">IF(H179="No","-",IF(I179="Available","Good supply",IF(I179="Low stock","Few left",IF(I179="Out of stock","None",IF(I179="Temporarily unavailable","Unavailable","Unknown")))))</f>
        <v>-</v>
      </c>
      <c r="K179" s="18"/>
      <c r="L179" s="22"/>
      <c r="M179" s="18" t="str">
        <f aca="false">IF(L179="","",ROUND((Config!$B$2-L179)*1440,0))</f>
        <v/>
      </c>
      <c r="N179" s="18" t="str">
        <f aca="false">IF(K179="Staff verified",Config!$B$4,IF(OR(K179="Authorized student verified",K179="Multiple student reports",K179="Single student report"),Config!$B$3,""))</f>
        <v/>
      </c>
      <c r="O179" s="18" t="str">
        <f aca="false">IF(H179="No","n/a",IF(L179="","Unverified Data",IF(M179&gt;N179,"Stale report",K179)))</f>
        <v>n/a</v>
      </c>
      <c r="P179" s="18" t="str">
        <f aca="false">IF(AND(H179="Yes",OR(I179="Available",I179="Low stock")),IF(O179="Stale report","Verify first","Yes"),"No")</f>
        <v>No</v>
      </c>
      <c r="Q179" s="18" t="str">
        <f aca="false">IF(H179="Yes","proposed_pending_approval","n/a")</f>
        <v>n/a</v>
      </c>
      <c r="R179" s="18" t="str">
        <f aca="false">IF(H179="Yes","Retail swipe (proposed) / RU Express / Cash or card","n/a")</f>
        <v>n/a</v>
      </c>
      <c r="S179" s="21" t="str">
        <f aca="false">INDEX(Products!$I$2:$I$29,MATCH($E179,Products!$A$2:$A$29,0))</f>
        <v>1 bottle</v>
      </c>
      <c r="T179" s="18" t="str">
        <f aca="false">IF(H179="Yes",Config!$B$5,"")</f>
        <v/>
      </c>
      <c r="U179" s="21" t="str">
        <f aca="false">INDEX(Products!$J$2:$J$29,MATCH($E179,Products!$A$2:$A$29,0))</f>
        <v>No</v>
      </c>
      <c r="V179" s="18" t="s">
        <v>394</v>
      </c>
    </row>
    <row r="180" customFormat="false" ht="15" hidden="false" customHeight="true" outlineLevel="0" collapsed="false">
      <c r="A180" s="18" t="s">
        <v>579</v>
      </c>
      <c r="B180" s="18" t="s">
        <v>178</v>
      </c>
      <c r="C180" s="21" t="str">
        <f aca="false">INDEX(Locations!$B$2:$B$9,MATCH($B180,Locations!$A$2:$A$9,0))</f>
        <v>Cook Cafe</v>
      </c>
      <c r="D180" s="21" t="str">
        <f aca="false">INDEX(Locations!$C$2:$C$9,MATCH($B180,Locations!$A$2:$A$9,0))</f>
        <v>Cook/Douglass</v>
      </c>
      <c r="E180" s="18" t="s">
        <v>268</v>
      </c>
      <c r="F180" s="21" t="str">
        <f aca="false">INDEX(Products!$B$2:$B$29,MATCH($E180,Products!$A$2:$A$29,0))</f>
        <v>Claritin</v>
      </c>
      <c r="G180" s="21" t="str">
        <f aca="false">INDEX(Products!$C$2:$C$29,MATCH($E180,Products!$A$2:$A$29,0))</f>
        <v>Allergy</v>
      </c>
      <c r="H180" s="18" t="s">
        <v>123</v>
      </c>
      <c r="I180" s="18" t="s">
        <v>396</v>
      </c>
      <c r="J180" s="18" t="str">
        <f aca="false">IF(H180="No","-",IF(I180="Available","Good supply",IF(I180="Low stock","Few left",IF(I180="Out of stock","None",IF(I180="Temporarily unavailable","Unavailable","Unknown")))))</f>
        <v>None</v>
      </c>
      <c r="K180" s="18" t="s">
        <v>393</v>
      </c>
      <c r="L180" s="22" t="n">
        <v>46308.5798611111</v>
      </c>
      <c r="M180" s="18" t="n">
        <f aca="false">IF(L180="","",ROUND((Config!$B$2-L180)*1440,0))</f>
        <v>65</v>
      </c>
      <c r="N180" s="18" t="n">
        <f aca="false">IF(K180="Staff verified",Config!$B$4,IF(OR(K180="Authorized student verified",K180="Multiple student reports",K180="Single student report"),Config!$B$3,""))</f>
        <v>240</v>
      </c>
      <c r="O180" s="18" t="str">
        <f aca="false">IF(H180="No","n/a",IF(L180="","Unverified Data",IF(M180&gt;N180,"Stale report",K180)))</f>
        <v>Staff verified</v>
      </c>
      <c r="P180" s="18" t="str">
        <f aca="false">IF(AND(H180="Yes",OR(I180="Available",I180="Low stock")),IF(O180="Stale report","Verify first","Yes"),"No")</f>
        <v>No</v>
      </c>
      <c r="Q180" s="18" t="str">
        <f aca="false">IF(H180="Yes","proposed_pending_approval","n/a")</f>
        <v>proposed_pending_approval</v>
      </c>
      <c r="R180" s="18" t="str">
        <f aca="false">IF(H180="Yes","Retail swipe (proposed) / RU Express / Cash or card","n/a")</f>
        <v>Retail swipe (proposed) / RU Express / Cash or card</v>
      </c>
      <c r="S180" s="21" t="str">
        <f aca="false">INDEX(Products!$I$2:$I$29,MATCH($E180,Products!$A$2:$A$29,0))</f>
        <v>1 package</v>
      </c>
      <c r="T180" s="18" t="n">
        <f aca="false">IF(H180="Yes",Config!$B$5,"")</f>
        <v>75</v>
      </c>
      <c r="U180" s="21" t="str">
        <f aca="false">INDEX(Products!$J$2:$J$29,MATCH($E180,Products!$A$2:$A$29,0))</f>
        <v>No</v>
      </c>
      <c r="V180" s="18" t="s">
        <v>394</v>
      </c>
    </row>
    <row r="181" customFormat="false" ht="15" hidden="false" customHeight="true" outlineLevel="0" collapsed="false">
      <c r="A181" s="18" t="s">
        <v>580</v>
      </c>
      <c r="B181" s="18" t="s">
        <v>178</v>
      </c>
      <c r="C181" s="21" t="str">
        <f aca="false">INDEX(Locations!$B$2:$B$9,MATCH($B181,Locations!$A$2:$A$9,0))</f>
        <v>Cook Cafe</v>
      </c>
      <c r="D181" s="21" t="str">
        <f aca="false">INDEX(Locations!$C$2:$C$9,MATCH($B181,Locations!$A$2:$A$9,0))</f>
        <v>Cook/Douglass</v>
      </c>
      <c r="E181" s="18" t="s">
        <v>275</v>
      </c>
      <c r="F181" s="21" t="str">
        <f aca="false">INDEX(Products!$B$2:$B$29,MATCH($E181,Products!$A$2:$A$29,0))</f>
        <v>Zyrtec</v>
      </c>
      <c r="G181" s="21" t="str">
        <f aca="false">INDEX(Products!$C$2:$C$29,MATCH($E181,Products!$A$2:$A$29,0))</f>
        <v>Allergy</v>
      </c>
      <c r="H181" s="18" t="s">
        <v>212</v>
      </c>
      <c r="I181" s="18" t="s">
        <v>487</v>
      </c>
      <c r="J181" s="18" t="str">
        <f aca="false">IF(H181="No","-",IF(I181="Available","Good supply",IF(I181="Low stock","Few left",IF(I181="Out of stock","None",IF(I181="Temporarily unavailable","Unavailable","Unknown")))))</f>
        <v>-</v>
      </c>
      <c r="K181" s="18"/>
      <c r="L181" s="22"/>
      <c r="M181" s="18" t="str">
        <f aca="false">IF(L181="","",ROUND((Config!$B$2-L181)*1440,0))</f>
        <v/>
      </c>
      <c r="N181" s="18" t="str">
        <f aca="false">IF(K181="Staff verified",Config!$B$4,IF(OR(K181="Authorized student verified",K181="Multiple student reports",K181="Single student report"),Config!$B$3,""))</f>
        <v/>
      </c>
      <c r="O181" s="18" t="str">
        <f aca="false">IF(H181="No","n/a",IF(L181="","Unverified Data",IF(M181&gt;N181,"Stale report",K181)))</f>
        <v>n/a</v>
      </c>
      <c r="P181" s="18" t="str">
        <f aca="false">IF(AND(H181="Yes",OR(I181="Available",I181="Low stock")),IF(O181="Stale report","Verify first","Yes"),"No")</f>
        <v>No</v>
      </c>
      <c r="Q181" s="18" t="str">
        <f aca="false">IF(H181="Yes","proposed_pending_approval","n/a")</f>
        <v>n/a</v>
      </c>
      <c r="R181" s="18" t="str">
        <f aca="false">IF(H181="Yes","Retail swipe (proposed) / RU Express / Cash or card","n/a")</f>
        <v>n/a</v>
      </c>
      <c r="S181" s="21" t="str">
        <f aca="false">INDEX(Products!$I$2:$I$29,MATCH($E181,Products!$A$2:$A$29,0))</f>
        <v>1 package</v>
      </c>
      <c r="T181" s="18" t="str">
        <f aca="false">IF(H181="Yes",Config!$B$5,"")</f>
        <v/>
      </c>
      <c r="U181" s="21" t="str">
        <f aca="false">INDEX(Products!$J$2:$J$29,MATCH($E181,Products!$A$2:$A$29,0))</f>
        <v>No</v>
      </c>
      <c r="V181" s="18" t="s">
        <v>394</v>
      </c>
    </row>
    <row r="182" customFormat="false" ht="15" hidden="false" customHeight="true" outlineLevel="0" collapsed="false">
      <c r="A182" s="18" t="s">
        <v>581</v>
      </c>
      <c r="B182" s="18" t="s">
        <v>178</v>
      </c>
      <c r="C182" s="21" t="str">
        <f aca="false">INDEX(Locations!$B$2:$B$9,MATCH($B182,Locations!$A$2:$A$9,0))</f>
        <v>Cook Cafe</v>
      </c>
      <c r="D182" s="21" t="str">
        <f aca="false">INDEX(Locations!$C$2:$C$9,MATCH($B182,Locations!$A$2:$A$9,0))</f>
        <v>Cook/Douglass</v>
      </c>
      <c r="E182" s="18" t="s">
        <v>281</v>
      </c>
      <c r="F182" s="21" t="str">
        <f aca="false">INDEX(Products!$B$2:$B$29,MATCH($E182,Products!$A$2:$A$29,0))</f>
        <v>Benadryl</v>
      </c>
      <c r="G182" s="21" t="str">
        <f aca="false">INDEX(Products!$C$2:$C$29,MATCH($E182,Products!$A$2:$A$29,0))</f>
        <v>Allergy</v>
      </c>
      <c r="H182" s="18" t="s">
        <v>212</v>
      </c>
      <c r="I182" s="18" t="s">
        <v>487</v>
      </c>
      <c r="J182" s="18" t="str">
        <f aca="false">IF(H182="No","-",IF(I182="Available","Good supply",IF(I182="Low stock","Few left",IF(I182="Out of stock","None",IF(I182="Temporarily unavailable","Unavailable","Unknown")))))</f>
        <v>-</v>
      </c>
      <c r="K182" s="18"/>
      <c r="L182" s="22"/>
      <c r="M182" s="18" t="str">
        <f aca="false">IF(L182="","",ROUND((Config!$B$2-L182)*1440,0))</f>
        <v/>
      </c>
      <c r="N182" s="18" t="str">
        <f aca="false">IF(K182="Staff verified",Config!$B$4,IF(OR(K182="Authorized student verified",K182="Multiple student reports",K182="Single student report"),Config!$B$3,""))</f>
        <v/>
      </c>
      <c r="O182" s="18" t="str">
        <f aca="false">IF(H182="No","n/a",IF(L182="","Unverified Data",IF(M182&gt;N182,"Stale report",K182)))</f>
        <v>n/a</v>
      </c>
      <c r="P182" s="18" t="str">
        <f aca="false">IF(AND(H182="Yes",OR(I182="Available",I182="Low stock")),IF(O182="Stale report","Verify first","Yes"),"No")</f>
        <v>No</v>
      </c>
      <c r="Q182" s="18" t="str">
        <f aca="false">IF(H182="Yes","proposed_pending_approval","n/a")</f>
        <v>n/a</v>
      </c>
      <c r="R182" s="18" t="str">
        <f aca="false">IF(H182="Yes","Retail swipe (proposed) / RU Express / Cash or card","n/a")</f>
        <v>n/a</v>
      </c>
      <c r="S182" s="21" t="str">
        <f aca="false">INDEX(Products!$I$2:$I$29,MATCH($E182,Products!$A$2:$A$29,0))</f>
        <v>1 package</v>
      </c>
      <c r="T182" s="18" t="str">
        <f aca="false">IF(H182="Yes",Config!$B$5,"")</f>
        <v/>
      </c>
      <c r="U182" s="21" t="str">
        <f aca="false">INDEX(Products!$J$2:$J$29,MATCH($E182,Products!$A$2:$A$29,0))</f>
        <v>No</v>
      </c>
      <c r="V182" s="18" t="s">
        <v>394</v>
      </c>
    </row>
    <row r="183" customFormat="false" ht="15" hidden="false" customHeight="true" outlineLevel="0" collapsed="false">
      <c r="A183" s="18" t="s">
        <v>582</v>
      </c>
      <c r="B183" s="18" t="s">
        <v>178</v>
      </c>
      <c r="C183" s="21" t="str">
        <f aca="false">INDEX(Locations!$B$2:$B$9,MATCH($B183,Locations!$A$2:$A$9,0))</f>
        <v>Cook Cafe</v>
      </c>
      <c r="D183" s="21" t="str">
        <f aca="false">INDEX(Locations!$C$2:$C$9,MATCH($B183,Locations!$A$2:$A$9,0))</f>
        <v>Cook/Douglass</v>
      </c>
      <c r="E183" s="18" t="s">
        <v>287</v>
      </c>
      <c r="F183" s="21" t="str">
        <f aca="false">INDEX(Products!$B$2:$B$29,MATCH($E183,Products!$A$2:$A$29,0))</f>
        <v>Tums</v>
      </c>
      <c r="G183" s="21" t="str">
        <f aca="false">INDEX(Products!$C$2:$C$29,MATCH($E183,Products!$A$2:$A$29,0))</f>
        <v>Digestive</v>
      </c>
      <c r="H183" s="18" t="s">
        <v>123</v>
      </c>
      <c r="I183" s="18" t="s">
        <v>392</v>
      </c>
      <c r="J183" s="18" t="str">
        <f aca="false">IF(H183="No","-",IF(I183="Available","Good supply",IF(I183="Low stock","Few left",IF(I183="Out of stock","None",IF(I183="Temporarily unavailable","Unavailable","Unknown")))))</f>
        <v>Good supply</v>
      </c>
      <c r="K183" s="18" t="s">
        <v>397</v>
      </c>
      <c r="L183" s="22" t="n">
        <v>46308.6055555556</v>
      </c>
      <c r="M183" s="18" t="n">
        <f aca="false">IF(L183="","",ROUND((Config!$B$2-L183)*1440,0))</f>
        <v>28</v>
      </c>
      <c r="N183" s="18" t="str">
        <f aca="false">IF(K183="Staff verified",Config!$B$4,IF(OR(K183="Authorized student verified",K183="Multiple student reports",K183="Single student report"),Config!$B$3,""))</f>
        <v/>
      </c>
      <c r="O183" s="18" t="str">
        <f aca="false">IF(H183="No","n/a",IF(L183="","Unverified Data",IF(M183&gt;N183,"Stale report",K183)))</f>
        <v>Verified student report</v>
      </c>
      <c r="P183" s="18" t="str">
        <f aca="false">IF(AND(H183="Yes",OR(I183="Available",I183="Low stock")),IF(O183="Stale report","Verify first","Yes"),"No")</f>
        <v>Yes</v>
      </c>
      <c r="Q183" s="18" t="str">
        <f aca="false">IF(H183="Yes","proposed_pending_approval","n/a")</f>
        <v>proposed_pending_approval</v>
      </c>
      <c r="R183" s="18" t="str">
        <f aca="false">IF(H183="Yes","Retail swipe (proposed) / RU Express / Cash or card","n/a")</f>
        <v>Retail swipe (proposed) / RU Express / Cash or card</v>
      </c>
      <c r="S183" s="21" t="str">
        <f aca="false">INDEX(Products!$I$2:$I$29,MATCH($E183,Products!$A$2:$A$29,0))</f>
        <v>1 package</v>
      </c>
      <c r="T183" s="18" t="n">
        <f aca="false">IF(H183="Yes",Config!$B$5,"")</f>
        <v>75</v>
      </c>
      <c r="U183" s="21" t="str">
        <f aca="false">INDEX(Products!$J$2:$J$29,MATCH($E183,Products!$A$2:$A$29,0))</f>
        <v>No</v>
      </c>
      <c r="V183" s="18" t="s">
        <v>394</v>
      </c>
    </row>
    <row r="184" customFormat="false" ht="15" hidden="false" customHeight="true" outlineLevel="0" collapsed="false">
      <c r="A184" s="18" t="s">
        <v>583</v>
      </c>
      <c r="B184" s="18" t="s">
        <v>178</v>
      </c>
      <c r="C184" s="21" t="str">
        <f aca="false">INDEX(Locations!$B$2:$B$9,MATCH($B184,Locations!$A$2:$A$9,0))</f>
        <v>Cook Cafe</v>
      </c>
      <c r="D184" s="21" t="str">
        <f aca="false">INDEX(Locations!$C$2:$C$9,MATCH($B184,Locations!$A$2:$A$9,0))</f>
        <v>Cook/Douglass</v>
      </c>
      <c r="E184" s="18" t="s">
        <v>293</v>
      </c>
      <c r="F184" s="21" t="str">
        <f aca="false">INDEX(Products!$B$2:$B$29,MATCH($E184,Products!$A$2:$A$29,0))</f>
        <v>Pepto-Bismol</v>
      </c>
      <c r="G184" s="21" t="str">
        <f aca="false">INDEX(Products!$C$2:$C$29,MATCH($E184,Products!$A$2:$A$29,0))</f>
        <v>Digestive</v>
      </c>
      <c r="H184" s="18" t="s">
        <v>123</v>
      </c>
      <c r="I184" s="18" t="s">
        <v>404</v>
      </c>
      <c r="J184" s="18" t="str">
        <f aca="false">IF(H184="No","-",IF(I184="Available","Good supply",IF(I184="Low stock","Few left",IF(I184="Out of stock","None",IF(I184="Temporarily unavailable","Unavailable","Unknown")))))</f>
        <v>Few left</v>
      </c>
      <c r="K184" s="18" t="s">
        <v>393</v>
      </c>
      <c r="L184" s="22" t="n">
        <v>46308.55625</v>
      </c>
      <c r="M184" s="18" t="n">
        <f aca="false">IF(L184="","",ROUND((Config!$B$2-L184)*1440,0))</f>
        <v>99</v>
      </c>
      <c r="N184" s="18" t="n">
        <f aca="false">IF(K184="Staff verified",Config!$B$4,IF(OR(K184="Authorized student verified",K184="Multiple student reports",K184="Single student report"),Config!$B$3,""))</f>
        <v>240</v>
      </c>
      <c r="O184" s="18" t="str">
        <f aca="false">IF(H184="No","n/a",IF(L184="","Unverified Data",IF(M184&gt;N184,"Stale report",K184)))</f>
        <v>Staff verified</v>
      </c>
      <c r="P184" s="18" t="str">
        <f aca="false">IF(AND(H184="Yes",OR(I184="Available",I184="Low stock")),IF(O184="Stale report","Verify first","Yes"),"No")</f>
        <v>Yes</v>
      </c>
      <c r="Q184" s="18" t="str">
        <f aca="false">IF(H184="Yes","proposed_pending_approval","n/a")</f>
        <v>proposed_pending_approval</v>
      </c>
      <c r="R184" s="18" t="str">
        <f aca="false">IF(H184="Yes","Retail swipe (proposed) / RU Express / Cash or card","n/a")</f>
        <v>Retail swipe (proposed) / RU Express / Cash or card</v>
      </c>
      <c r="S184" s="21" t="str">
        <f aca="false">INDEX(Products!$I$2:$I$29,MATCH($E184,Products!$A$2:$A$29,0))</f>
        <v>1 package</v>
      </c>
      <c r="T184" s="18" t="n">
        <f aca="false">IF(H184="Yes",Config!$B$5,"")</f>
        <v>75</v>
      </c>
      <c r="U184" s="21" t="str">
        <f aca="false">INDEX(Products!$J$2:$J$29,MATCH($E184,Products!$A$2:$A$29,0))</f>
        <v>No</v>
      </c>
      <c r="V184" s="18" t="s">
        <v>394</v>
      </c>
    </row>
    <row r="185" customFormat="false" ht="15" hidden="false" customHeight="true" outlineLevel="0" collapsed="false">
      <c r="A185" s="18" t="s">
        <v>584</v>
      </c>
      <c r="B185" s="18" t="s">
        <v>178</v>
      </c>
      <c r="C185" s="21" t="str">
        <f aca="false">INDEX(Locations!$B$2:$B$9,MATCH($B185,Locations!$A$2:$A$9,0))</f>
        <v>Cook Cafe</v>
      </c>
      <c r="D185" s="21" t="str">
        <f aca="false">INDEX(Locations!$C$2:$C$9,MATCH($B185,Locations!$A$2:$A$9,0))</f>
        <v>Cook/Douglass</v>
      </c>
      <c r="E185" s="18" t="s">
        <v>299</v>
      </c>
      <c r="F185" s="21" t="str">
        <f aca="false">INDEX(Products!$B$2:$B$29,MATCH($E185,Products!$A$2:$A$29,0))</f>
        <v>Imodium A-D</v>
      </c>
      <c r="G185" s="21" t="str">
        <f aca="false">INDEX(Products!$C$2:$C$29,MATCH($E185,Products!$A$2:$A$29,0))</f>
        <v>Digestive</v>
      </c>
      <c r="H185" s="18" t="s">
        <v>212</v>
      </c>
      <c r="I185" s="18" t="s">
        <v>487</v>
      </c>
      <c r="J185" s="18" t="str">
        <f aca="false">IF(H185="No","-",IF(I185="Available","Good supply",IF(I185="Low stock","Few left",IF(I185="Out of stock","None",IF(I185="Temporarily unavailable","Unavailable","Unknown")))))</f>
        <v>-</v>
      </c>
      <c r="K185" s="18"/>
      <c r="L185" s="22"/>
      <c r="M185" s="18" t="str">
        <f aca="false">IF(L185="","",ROUND((Config!$B$2-L185)*1440,0))</f>
        <v/>
      </c>
      <c r="N185" s="18" t="str">
        <f aca="false">IF(K185="Staff verified",Config!$B$4,IF(OR(K185="Authorized student verified",K185="Multiple student reports",K185="Single student report"),Config!$B$3,""))</f>
        <v/>
      </c>
      <c r="O185" s="18" t="str">
        <f aca="false">IF(H185="No","n/a",IF(L185="","Unverified Data",IF(M185&gt;N185,"Stale report",K185)))</f>
        <v>n/a</v>
      </c>
      <c r="P185" s="18" t="str">
        <f aca="false">IF(AND(H185="Yes",OR(I185="Available",I185="Low stock")),IF(O185="Stale report","Verify first","Yes"),"No")</f>
        <v>No</v>
      </c>
      <c r="Q185" s="18" t="str">
        <f aca="false">IF(H185="Yes","proposed_pending_approval","n/a")</f>
        <v>n/a</v>
      </c>
      <c r="R185" s="18" t="str">
        <f aca="false">IF(H185="Yes","Retail swipe (proposed) / RU Express / Cash or card","n/a")</f>
        <v>n/a</v>
      </c>
      <c r="S185" s="21" t="str">
        <f aca="false">INDEX(Products!$I$2:$I$29,MATCH($E185,Products!$A$2:$A$29,0))</f>
        <v>1 package</v>
      </c>
      <c r="T185" s="18" t="str">
        <f aca="false">IF(H185="Yes",Config!$B$5,"")</f>
        <v/>
      </c>
      <c r="U185" s="21" t="str">
        <f aca="false">INDEX(Products!$J$2:$J$29,MATCH($E185,Products!$A$2:$A$29,0))</f>
        <v>No</v>
      </c>
      <c r="V185" s="18" t="s">
        <v>394</v>
      </c>
    </row>
    <row r="186" customFormat="false" ht="15" hidden="false" customHeight="true" outlineLevel="0" collapsed="false">
      <c r="A186" s="18" t="s">
        <v>585</v>
      </c>
      <c r="B186" s="18" t="s">
        <v>178</v>
      </c>
      <c r="C186" s="21" t="str">
        <f aca="false">INDEX(Locations!$B$2:$B$9,MATCH($B186,Locations!$A$2:$A$9,0))</f>
        <v>Cook Cafe</v>
      </c>
      <c r="D186" s="21" t="str">
        <f aca="false">INDEX(Locations!$C$2:$C$9,MATCH($B186,Locations!$A$2:$A$9,0))</f>
        <v>Cook/Douglass</v>
      </c>
      <c r="E186" s="18" t="s">
        <v>305</v>
      </c>
      <c r="F186" s="21" t="str">
        <f aca="false">INDEX(Products!$B$2:$B$29,MATCH($E186,Products!$A$2:$A$29,0))</f>
        <v>Pedialyte</v>
      </c>
      <c r="G186" s="21" t="str">
        <f aca="false">INDEX(Products!$C$2:$C$29,MATCH($E186,Products!$A$2:$A$29,0))</f>
        <v>Hydration</v>
      </c>
      <c r="H186" s="18" t="s">
        <v>123</v>
      </c>
      <c r="I186" s="18" t="s">
        <v>392</v>
      </c>
      <c r="J186" s="18" t="str">
        <f aca="false">IF(H186="No","-",IF(I186="Available","Good supply",IF(I186="Low stock","Few left",IF(I186="Out of stock","None",IF(I186="Temporarily unavailable","Unavailable","Unknown")))))</f>
        <v>Good supply</v>
      </c>
      <c r="K186" s="18" t="s">
        <v>409</v>
      </c>
      <c r="L186" s="22"/>
      <c r="M186" s="18" t="str">
        <f aca="false">IF(L186="","",ROUND((Config!$B$2-L186)*1440,0))</f>
        <v/>
      </c>
      <c r="N186" s="18" t="str">
        <f aca="false">IF(K186="Staff verified",Config!$B$4,IF(OR(K186="Authorized student verified",K186="Multiple student reports",K186="Single student report"),Config!$B$3,""))</f>
        <v/>
      </c>
      <c r="O186" s="18" t="str">
        <f aca="false">IF(H186="No","n/a",IF(L186="","Unverified Data",IF(M186&gt;N186,"Stale report",K186)))</f>
        <v>Unverified Data</v>
      </c>
      <c r="P186" s="18" t="str">
        <f aca="false">IF(AND(H186="Yes",OR(I186="Available",I186="Low stock")),IF(O186="Stale report","Verify first","Yes"),"No")</f>
        <v>Yes</v>
      </c>
      <c r="Q186" s="18" t="str">
        <f aca="false">IF(H186="Yes","proposed_pending_approval","n/a")</f>
        <v>proposed_pending_approval</v>
      </c>
      <c r="R186" s="18" t="str">
        <f aca="false">IF(H186="Yes","Retail swipe (proposed) / RU Express / Cash or card","n/a")</f>
        <v>Retail swipe (proposed) / RU Express / Cash or card</v>
      </c>
      <c r="S186" s="21" t="str">
        <f aca="false">INDEX(Products!$I$2:$I$29,MATCH($E186,Products!$A$2:$A$29,0))</f>
        <v>2 bottles</v>
      </c>
      <c r="T186" s="18" t="n">
        <f aca="false">IF(H186="Yes",Config!$B$5,"")</f>
        <v>75</v>
      </c>
      <c r="U186" s="21" t="str">
        <f aca="false">INDEX(Products!$J$2:$J$29,MATCH($E186,Products!$A$2:$A$29,0))</f>
        <v>No</v>
      </c>
      <c r="V186" s="18" t="s">
        <v>394</v>
      </c>
    </row>
    <row r="187" customFormat="false" ht="15" hidden="false" customHeight="true" outlineLevel="0" collapsed="false">
      <c r="A187" s="18" t="s">
        <v>586</v>
      </c>
      <c r="B187" s="18" t="s">
        <v>178</v>
      </c>
      <c r="C187" s="21" t="str">
        <f aca="false">INDEX(Locations!$B$2:$B$9,MATCH($B187,Locations!$A$2:$A$9,0))</f>
        <v>Cook Cafe</v>
      </c>
      <c r="D187" s="21" t="str">
        <f aca="false">INDEX(Locations!$C$2:$C$9,MATCH($B187,Locations!$A$2:$A$9,0))</f>
        <v>Cook/Douglass</v>
      </c>
      <c r="E187" s="18" t="s">
        <v>312</v>
      </c>
      <c r="F187" s="21" t="str">
        <f aca="false">INDEX(Products!$B$2:$B$29,MATCH($E187,Products!$A$2:$A$29,0))</f>
        <v>Digital thermometer (brand varies)</v>
      </c>
      <c r="G187" s="21" t="str">
        <f aca="false">INDEX(Products!$C$2:$C$29,MATCH($E187,Products!$A$2:$A$29,0))</f>
        <v>Diagnostics</v>
      </c>
      <c r="H187" s="18" t="s">
        <v>123</v>
      </c>
      <c r="I187" s="18" t="s">
        <v>413</v>
      </c>
      <c r="J187" s="18" t="str">
        <f aca="false">IF(H187="No","-",IF(I187="Available","Good supply",IF(I187="Low stock","Few left",IF(I187="Out of stock","None",IF(I187="Temporarily unavailable","Unavailable","Unknown")))))</f>
        <v>Unknown</v>
      </c>
      <c r="K187" s="18" t="s">
        <v>409</v>
      </c>
      <c r="L187" s="22"/>
      <c r="M187" s="18" t="str">
        <f aca="false">IF(L187="","",ROUND((Config!$B$2-L187)*1440,0))</f>
        <v/>
      </c>
      <c r="N187" s="18" t="str">
        <f aca="false">IF(K187="Staff verified",Config!$B$4,IF(OR(K187="Authorized student verified",K187="Multiple student reports",K187="Single student report"),Config!$B$3,""))</f>
        <v/>
      </c>
      <c r="O187" s="18" t="str">
        <f aca="false">IF(H187="No","n/a",IF(L187="","Unverified Data",IF(M187&gt;N187,"Stale report",K187)))</f>
        <v>Unverified Data</v>
      </c>
      <c r="P187" s="18" t="str">
        <f aca="false">IF(AND(H187="Yes",OR(I187="Available",I187="Low stock")),IF(O187="Stale report","Verify first","Yes"),"No")</f>
        <v>No</v>
      </c>
      <c r="Q187" s="18" t="str">
        <f aca="false">IF(H187="Yes","proposed_pending_approval","n/a")</f>
        <v>proposed_pending_approval</v>
      </c>
      <c r="R187" s="18" t="str">
        <f aca="false">IF(H187="Yes","Retail swipe (proposed) / RU Express / Cash or card","n/a")</f>
        <v>Retail swipe (proposed) / RU Express / Cash or card</v>
      </c>
      <c r="S187" s="21" t="str">
        <f aca="false">INDEX(Products!$I$2:$I$29,MATCH($E187,Products!$A$2:$A$29,0))</f>
        <v>1 unit</v>
      </c>
      <c r="T187" s="18" t="n">
        <f aca="false">IF(H187="Yes",Config!$B$5,"")</f>
        <v>75</v>
      </c>
      <c r="U187" s="21" t="str">
        <f aca="false">INDEX(Products!$J$2:$J$29,MATCH($E187,Products!$A$2:$A$29,0))</f>
        <v>No</v>
      </c>
      <c r="V187" s="18" t="s">
        <v>394</v>
      </c>
    </row>
    <row r="188" customFormat="false" ht="15" hidden="false" customHeight="true" outlineLevel="0" collapsed="false">
      <c r="A188" s="18" t="s">
        <v>587</v>
      </c>
      <c r="B188" s="18" t="s">
        <v>178</v>
      </c>
      <c r="C188" s="21" t="str">
        <f aca="false">INDEX(Locations!$B$2:$B$9,MATCH($B188,Locations!$A$2:$A$9,0))</f>
        <v>Cook Cafe</v>
      </c>
      <c r="D188" s="21" t="str">
        <f aca="false">INDEX(Locations!$C$2:$C$9,MATCH($B188,Locations!$A$2:$A$9,0))</f>
        <v>Cook/Douglass</v>
      </c>
      <c r="E188" s="18" t="s">
        <v>320</v>
      </c>
      <c r="F188" s="21" t="str">
        <f aca="false">INDEX(Products!$B$2:$B$29,MATCH($E188,Products!$A$2:$A$29,0))</f>
        <v>iHealth COVID-19 Antigen Rapid Test</v>
      </c>
      <c r="G188" s="21" t="str">
        <f aca="false">INDEX(Products!$C$2:$C$29,MATCH($E188,Products!$A$2:$A$29,0))</f>
        <v>Diagnostics</v>
      </c>
      <c r="H188" s="18" t="s">
        <v>212</v>
      </c>
      <c r="I188" s="18" t="s">
        <v>487</v>
      </c>
      <c r="J188" s="18" t="str">
        <f aca="false">IF(H188="No","-",IF(I188="Available","Good supply",IF(I188="Low stock","Few left",IF(I188="Out of stock","None",IF(I188="Temporarily unavailable","Unavailable","Unknown")))))</f>
        <v>-</v>
      </c>
      <c r="K188" s="18"/>
      <c r="L188" s="22"/>
      <c r="M188" s="18" t="str">
        <f aca="false">IF(L188="","",ROUND((Config!$B$2-L188)*1440,0))</f>
        <v/>
      </c>
      <c r="N188" s="18" t="str">
        <f aca="false">IF(K188="Staff verified",Config!$B$4,IF(OR(K188="Authorized student verified",K188="Multiple student reports",K188="Single student report"),Config!$B$3,""))</f>
        <v/>
      </c>
      <c r="O188" s="18" t="str">
        <f aca="false">IF(H188="No","n/a",IF(L188="","Unverified Data",IF(M188&gt;N188,"Stale report",K188)))</f>
        <v>n/a</v>
      </c>
      <c r="P188" s="18" t="str">
        <f aca="false">IF(AND(H188="Yes",OR(I188="Available",I188="Low stock")),IF(O188="Stale report","Verify first","Yes"),"No")</f>
        <v>No</v>
      </c>
      <c r="Q188" s="18" t="str">
        <f aca="false">IF(H188="Yes","proposed_pending_approval","n/a")</f>
        <v>n/a</v>
      </c>
      <c r="R188" s="18" t="str">
        <f aca="false">IF(H188="Yes","Retail swipe (proposed) / RU Express / Cash or card","n/a")</f>
        <v>n/a</v>
      </c>
      <c r="S188" s="21" t="str">
        <f aca="false">INDEX(Products!$I$2:$I$29,MATCH($E188,Products!$A$2:$A$29,0))</f>
        <v>1 kit</v>
      </c>
      <c r="T188" s="18" t="str">
        <f aca="false">IF(H188="Yes",Config!$B$5,"")</f>
        <v/>
      </c>
      <c r="U188" s="21" t="str">
        <f aca="false">INDEX(Products!$J$2:$J$29,MATCH($E188,Products!$A$2:$A$29,0))</f>
        <v>No</v>
      </c>
      <c r="V188" s="18" t="s">
        <v>394</v>
      </c>
    </row>
    <row r="189" customFormat="false" ht="15" hidden="false" customHeight="true" outlineLevel="0" collapsed="false">
      <c r="A189" s="18" t="s">
        <v>588</v>
      </c>
      <c r="B189" s="18" t="s">
        <v>178</v>
      </c>
      <c r="C189" s="21" t="str">
        <f aca="false">INDEX(Locations!$B$2:$B$9,MATCH($B189,Locations!$A$2:$A$9,0))</f>
        <v>Cook Cafe</v>
      </c>
      <c r="D189" s="21" t="str">
        <f aca="false">INDEX(Locations!$C$2:$C$9,MATCH($B189,Locations!$A$2:$A$9,0))</f>
        <v>Cook/Douglass</v>
      </c>
      <c r="E189" s="18" t="s">
        <v>327</v>
      </c>
      <c r="F189" s="21" t="str">
        <f aca="false">INDEX(Products!$B$2:$B$29,MATCH($E189,Products!$A$2:$A$29,0))</f>
        <v>Band-Aid Brand Adhesive Bandages</v>
      </c>
      <c r="G189" s="21" t="str">
        <f aca="false">INDEX(Products!$C$2:$C$29,MATCH($E189,Products!$A$2:$A$29,0))</f>
        <v>First aid &amp; comfort</v>
      </c>
      <c r="H189" s="18" t="s">
        <v>123</v>
      </c>
      <c r="I189" s="18" t="s">
        <v>392</v>
      </c>
      <c r="J189" s="18" t="str">
        <f aca="false">IF(H189="No","-",IF(I189="Available","Good supply",IF(I189="Low stock","Few left",IF(I189="Out of stock","None",IF(I189="Temporarily unavailable","Unavailable","Unknown")))))</f>
        <v>Good supply</v>
      </c>
      <c r="K189" s="18" t="s">
        <v>409</v>
      </c>
      <c r="L189" s="22"/>
      <c r="M189" s="18" t="str">
        <f aca="false">IF(L189="","",ROUND((Config!$B$2-L189)*1440,0))</f>
        <v/>
      </c>
      <c r="N189" s="18" t="str">
        <f aca="false">IF(K189="Staff verified",Config!$B$4,IF(OR(K189="Authorized student verified",K189="Multiple student reports",K189="Single student report"),Config!$B$3,""))</f>
        <v/>
      </c>
      <c r="O189" s="18" t="str">
        <f aca="false">IF(H189="No","n/a",IF(L189="","Unverified Data",IF(M189&gt;N189,"Stale report",K189)))</f>
        <v>Unverified Data</v>
      </c>
      <c r="P189" s="18" t="str">
        <f aca="false">IF(AND(H189="Yes",OR(I189="Available",I189="Low stock")),IF(O189="Stale report","Verify first","Yes"),"No")</f>
        <v>Yes</v>
      </c>
      <c r="Q189" s="18" t="str">
        <f aca="false">IF(H189="Yes","proposed_pending_approval","n/a")</f>
        <v>proposed_pending_approval</v>
      </c>
      <c r="R189" s="18" t="str">
        <f aca="false">IF(H189="Yes","Retail swipe (proposed) / RU Express / Cash or card","n/a")</f>
        <v>Retail swipe (proposed) / RU Express / Cash or card</v>
      </c>
      <c r="S189" s="21" t="str">
        <f aca="false">INDEX(Products!$I$2:$I$29,MATCH($E189,Products!$A$2:$A$29,0))</f>
        <v>1 box</v>
      </c>
      <c r="T189" s="18" t="n">
        <f aca="false">IF(H189="Yes",Config!$B$5,"")</f>
        <v>75</v>
      </c>
      <c r="U189" s="21" t="str">
        <f aca="false">INDEX(Products!$J$2:$J$29,MATCH($E189,Products!$A$2:$A$29,0))</f>
        <v>No</v>
      </c>
      <c r="V189" s="18" t="s">
        <v>394</v>
      </c>
    </row>
    <row r="190" customFormat="false" ht="15" hidden="false" customHeight="true" outlineLevel="0" collapsed="false">
      <c r="A190" s="18" t="s">
        <v>589</v>
      </c>
      <c r="B190" s="18" t="s">
        <v>178</v>
      </c>
      <c r="C190" s="21" t="str">
        <f aca="false">INDEX(Locations!$B$2:$B$9,MATCH($B190,Locations!$A$2:$A$9,0))</f>
        <v>Cook Cafe</v>
      </c>
      <c r="D190" s="21" t="str">
        <f aca="false">INDEX(Locations!$C$2:$C$9,MATCH($B190,Locations!$A$2:$A$9,0))</f>
        <v>Cook/Douglass</v>
      </c>
      <c r="E190" s="18" t="s">
        <v>333</v>
      </c>
      <c r="F190" s="21" t="str">
        <f aca="false">INDEX(Products!$B$2:$B$29,MATCH($E190,Products!$A$2:$A$29,0))</f>
        <v>Johnson &amp; Johnson First Aid To Go Kit</v>
      </c>
      <c r="G190" s="21" t="str">
        <f aca="false">INDEX(Products!$C$2:$C$29,MATCH($E190,Products!$A$2:$A$29,0))</f>
        <v>First aid &amp; comfort</v>
      </c>
      <c r="H190" s="18" t="s">
        <v>212</v>
      </c>
      <c r="I190" s="18" t="s">
        <v>487</v>
      </c>
      <c r="J190" s="18" t="str">
        <f aca="false">IF(H190="No","-",IF(I190="Available","Good supply",IF(I190="Low stock","Few left",IF(I190="Out of stock","None",IF(I190="Temporarily unavailable","Unavailable","Unknown")))))</f>
        <v>-</v>
      </c>
      <c r="K190" s="18"/>
      <c r="L190" s="22"/>
      <c r="M190" s="18" t="str">
        <f aca="false">IF(L190="","",ROUND((Config!$B$2-L190)*1440,0))</f>
        <v/>
      </c>
      <c r="N190" s="18" t="str">
        <f aca="false">IF(K190="Staff verified",Config!$B$4,IF(OR(K190="Authorized student verified",K190="Multiple student reports",K190="Single student report"),Config!$B$3,""))</f>
        <v/>
      </c>
      <c r="O190" s="18" t="str">
        <f aca="false">IF(H190="No","n/a",IF(L190="","Unverified Data",IF(M190&gt;N190,"Stale report",K190)))</f>
        <v>n/a</v>
      </c>
      <c r="P190" s="18" t="str">
        <f aca="false">IF(AND(H190="Yes",OR(I190="Available",I190="Low stock")),IF(O190="Stale report","Verify first","Yes"),"No")</f>
        <v>No</v>
      </c>
      <c r="Q190" s="18" t="str">
        <f aca="false">IF(H190="Yes","proposed_pending_approval","n/a")</f>
        <v>n/a</v>
      </c>
      <c r="R190" s="18" t="str">
        <f aca="false">IF(H190="Yes","Retail swipe (proposed) / RU Express / Cash or card","n/a")</f>
        <v>n/a</v>
      </c>
      <c r="S190" s="21" t="str">
        <f aca="false">INDEX(Products!$I$2:$I$29,MATCH($E190,Products!$A$2:$A$29,0))</f>
        <v>1 kit</v>
      </c>
      <c r="T190" s="18" t="str">
        <f aca="false">IF(H190="Yes",Config!$B$5,"")</f>
        <v/>
      </c>
      <c r="U190" s="21" t="str">
        <f aca="false">INDEX(Products!$J$2:$J$29,MATCH($E190,Products!$A$2:$A$29,0))</f>
        <v>No</v>
      </c>
      <c r="V190" s="18" t="s">
        <v>394</v>
      </c>
    </row>
    <row r="191" customFormat="false" ht="15" hidden="false" customHeight="true" outlineLevel="0" collapsed="false">
      <c r="A191" s="18" t="s">
        <v>590</v>
      </c>
      <c r="B191" s="18" t="s">
        <v>178</v>
      </c>
      <c r="C191" s="21" t="str">
        <f aca="false">INDEX(Locations!$B$2:$B$9,MATCH($B191,Locations!$A$2:$A$9,0))</f>
        <v>Cook Cafe</v>
      </c>
      <c r="D191" s="21" t="str">
        <f aca="false">INDEX(Locations!$C$2:$C$9,MATCH($B191,Locations!$A$2:$A$9,0))</f>
        <v>Cook/Douglass</v>
      </c>
      <c r="E191" s="18" t="s">
        <v>338</v>
      </c>
      <c r="F191" s="21" t="str">
        <f aca="false">INDEX(Products!$B$2:$B$29,MATCH($E191,Products!$A$2:$A$29,0))</f>
        <v>Neosporin Original Ointment</v>
      </c>
      <c r="G191" s="21" t="str">
        <f aca="false">INDEX(Products!$C$2:$C$29,MATCH($E191,Products!$A$2:$A$29,0))</f>
        <v>First aid &amp; comfort</v>
      </c>
      <c r="H191" s="18" t="s">
        <v>212</v>
      </c>
      <c r="I191" s="18" t="s">
        <v>487</v>
      </c>
      <c r="J191" s="18" t="str">
        <f aca="false">IF(H191="No","-",IF(I191="Available","Good supply",IF(I191="Low stock","Few left",IF(I191="Out of stock","None",IF(I191="Temporarily unavailable","Unavailable","Unknown")))))</f>
        <v>-</v>
      </c>
      <c r="K191" s="18"/>
      <c r="L191" s="22"/>
      <c r="M191" s="18" t="str">
        <f aca="false">IF(L191="","",ROUND((Config!$B$2-L191)*1440,0))</f>
        <v/>
      </c>
      <c r="N191" s="18" t="str">
        <f aca="false">IF(K191="Staff verified",Config!$B$4,IF(OR(K191="Authorized student verified",K191="Multiple student reports",K191="Single student report"),Config!$B$3,""))</f>
        <v/>
      </c>
      <c r="O191" s="18" t="str">
        <f aca="false">IF(H191="No","n/a",IF(L191="","Unverified Data",IF(M191&gt;N191,"Stale report",K191)))</f>
        <v>n/a</v>
      </c>
      <c r="P191" s="18" t="str">
        <f aca="false">IF(AND(H191="Yes",OR(I191="Available",I191="Low stock")),IF(O191="Stale report","Verify first","Yes"),"No")</f>
        <v>No</v>
      </c>
      <c r="Q191" s="18" t="str">
        <f aca="false">IF(H191="Yes","proposed_pending_approval","n/a")</f>
        <v>n/a</v>
      </c>
      <c r="R191" s="18" t="str">
        <f aca="false">IF(H191="Yes","Retail swipe (proposed) / RU Express / Cash or card","n/a")</f>
        <v>n/a</v>
      </c>
      <c r="S191" s="21" t="str">
        <f aca="false">INDEX(Products!$I$2:$I$29,MATCH($E191,Products!$A$2:$A$29,0))</f>
        <v>1 tube</v>
      </c>
      <c r="T191" s="18" t="str">
        <f aca="false">IF(H191="Yes",Config!$B$5,"")</f>
        <v/>
      </c>
      <c r="U191" s="21" t="str">
        <f aca="false">INDEX(Products!$J$2:$J$29,MATCH($E191,Products!$A$2:$A$29,0))</f>
        <v>No</v>
      </c>
      <c r="V191" s="18" t="s">
        <v>394</v>
      </c>
    </row>
    <row r="192" customFormat="false" ht="15" hidden="false" customHeight="true" outlineLevel="0" collapsed="false">
      <c r="A192" s="18" t="s">
        <v>591</v>
      </c>
      <c r="B192" s="18" t="s">
        <v>178</v>
      </c>
      <c r="C192" s="21" t="str">
        <f aca="false">INDEX(Locations!$B$2:$B$9,MATCH($B192,Locations!$A$2:$A$9,0))</f>
        <v>Cook Cafe</v>
      </c>
      <c r="D192" s="21" t="str">
        <f aca="false">INDEX(Locations!$C$2:$C$9,MATCH($B192,Locations!$A$2:$A$9,0))</f>
        <v>Cook/Douglass</v>
      </c>
      <c r="E192" s="18" t="s">
        <v>345</v>
      </c>
      <c r="F192" s="21" t="str">
        <f aca="false">INDEX(Products!$B$2:$B$29,MATCH($E192,Products!$A$2:$A$29,0))</f>
        <v>Instant cold pack (brand varies)</v>
      </c>
      <c r="G192" s="21" t="str">
        <f aca="false">INDEX(Products!$C$2:$C$29,MATCH($E192,Products!$A$2:$A$29,0))</f>
        <v>First aid &amp; comfort</v>
      </c>
      <c r="H192" s="18" t="s">
        <v>212</v>
      </c>
      <c r="I192" s="18" t="s">
        <v>487</v>
      </c>
      <c r="J192" s="18" t="str">
        <f aca="false">IF(H192="No","-",IF(I192="Available","Good supply",IF(I192="Low stock","Few left",IF(I192="Out of stock","None",IF(I192="Temporarily unavailable","Unavailable","Unknown")))))</f>
        <v>-</v>
      </c>
      <c r="K192" s="18"/>
      <c r="L192" s="22"/>
      <c r="M192" s="18" t="str">
        <f aca="false">IF(L192="","",ROUND((Config!$B$2-L192)*1440,0))</f>
        <v/>
      </c>
      <c r="N192" s="18" t="str">
        <f aca="false">IF(K192="Staff verified",Config!$B$4,IF(OR(K192="Authorized student verified",K192="Multiple student reports",K192="Single student report"),Config!$B$3,""))</f>
        <v/>
      </c>
      <c r="O192" s="18" t="str">
        <f aca="false">IF(H192="No","n/a",IF(L192="","Unverified Data",IF(M192&gt;N192,"Stale report",K192)))</f>
        <v>n/a</v>
      </c>
      <c r="P192" s="18" t="str">
        <f aca="false">IF(AND(H192="Yes",OR(I192="Available",I192="Low stock")),IF(O192="Stale report","Verify first","Yes"),"No")</f>
        <v>No</v>
      </c>
      <c r="Q192" s="18" t="str">
        <f aca="false">IF(H192="Yes","proposed_pending_approval","n/a")</f>
        <v>n/a</v>
      </c>
      <c r="R192" s="18" t="str">
        <f aca="false">IF(H192="Yes","Retail swipe (proposed) / RU Express / Cash or card","n/a")</f>
        <v>n/a</v>
      </c>
      <c r="S192" s="21" t="str">
        <f aca="false">INDEX(Products!$I$2:$I$29,MATCH($E192,Products!$A$2:$A$29,0))</f>
        <v>1 pack</v>
      </c>
      <c r="T192" s="18" t="str">
        <f aca="false">IF(H192="Yes",Config!$B$5,"")</f>
        <v/>
      </c>
      <c r="U192" s="21" t="str">
        <f aca="false">INDEX(Products!$J$2:$J$29,MATCH($E192,Products!$A$2:$A$29,0))</f>
        <v>No</v>
      </c>
      <c r="V192" s="18" t="s">
        <v>394</v>
      </c>
    </row>
    <row r="193" customFormat="false" ht="15" hidden="false" customHeight="true" outlineLevel="0" collapsed="false">
      <c r="A193" s="18" t="s">
        <v>592</v>
      </c>
      <c r="B193" s="18" t="s">
        <v>178</v>
      </c>
      <c r="C193" s="21" t="str">
        <f aca="false">INDEX(Locations!$B$2:$B$9,MATCH($B193,Locations!$A$2:$A$9,0))</f>
        <v>Cook Cafe</v>
      </c>
      <c r="D193" s="21" t="str">
        <f aca="false">INDEX(Locations!$C$2:$C$9,MATCH($B193,Locations!$A$2:$A$9,0))</f>
        <v>Cook/Douglass</v>
      </c>
      <c r="E193" s="18" t="s">
        <v>351</v>
      </c>
      <c r="F193" s="21" t="str">
        <f aca="false">INDEX(Products!$B$2:$B$29,MATCH($E193,Products!$A$2:$A$29,0))</f>
        <v>ThermaCare Heat Wrap</v>
      </c>
      <c r="G193" s="21" t="str">
        <f aca="false">INDEX(Products!$C$2:$C$29,MATCH($E193,Products!$A$2:$A$29,0))</f>
        <v>First aid &amp; comfort</v>
      </c>
      <c r="H193" s="18" t="s">
        <v>212</v>
      </c>
      <c r="I193" s="18" t="s">
        <v>487</v>
      </c>
      <c r="J193" s="18" t="str">
        <f aca="false">IF(H193="No","-",IF(I193="Available","Good supply",IF(I193="Low stock","Few left",IF(I193="Out of stock","None",IF(I193="Temporarily unavailable","Unavailable","Unknown")))))</f>
        <v>-</v>
      </c>
      <c r="K193" s="18"/>
      <c r="L193" s="22"/>
      <c r="M193" s="18" t="str">
        <f aca="false">IF(L193="","",ROUND((Config!$B$2-L193)*1440,0))</f>
        <v/>
      </c>
      <c r="N193" s="18" t="str">
        <f aca="false">IF(K193="Staff verified",Config!$B$4,IF(OR(K193="Authorized student verified",K193="Multiple student reports",K193="Single student report"),Config!$B$3,""))</f>
        <v/>
      </c>
      <c r="O193" s="18" t="str">
        <f aca="false">IF(H193="No","n/a",IF(L193="","Unverified Data",IF(M193&gt;N193,"Stale report",K193)))</f>
        <v>n/a</v>
      </c>
      <c r="P193" s="18" t="str">
        <f aca="false">IF(AND(H193="Yes",OR(I193="Available",I193="Low stock")),IF(O193="Stale report","Verify first","Yes"),"No")</f>
        <v>No</v>
      </c>
      <c r="Q193" s="18" t="str">
        <f aca="false">IF(H193="Yes","proposed_pending_approval","n/a")</f>
        <v>n/a</v>
      </c>
      <c r="R193" s="18" t="str">
        <f aca="false">IF(H193="Yes","Retail swipe (proposed) / RU Express / Cash or card","n/a")</f>
        <v>n/a</v>
      </c>
      <c r="S193" s="21" t="str">
        <f aca="false">INDEX(Products!$I$2:$I$29,MATCH($E193,Products!$A$2:$A$29,0))</f>
        <v>1 package</v>
      </c>
      <c r="T193" s="18" t="str">
        <f aca="false">IF(H193="Yes",Config!$B$5,"")</f>
        <v/>
      </c>
      <c r="U193" s="21" t="str">
        <f aca="false">INDEX(Products!$J$2:$J$29,MATCH($E193,Products!$A$2:$A$29,0))</f>
        <v>No</v>
      </c>
      <c r="V193" s="18" t="s">
        <v>394</v>
      </c>
    </row>
    <row r="194" customFormat="false" ht="15" hidden="false" customHeight="true" outlineLevel="0" collapsed="false">
      <c r="A194" s="18" t="s">
        <v>593</v>
      </c>
      <c r="B194" s="18" t="s">
        <v>178</v>
      </c>
      <c r="C194" s="21" t="str">
        <f aca="false">INDEX(Locations!$B$2:$B$9,MATCH($B194,Locations!$A$2:$A$9,0))</f>
        <v>Cook Cafe</v>
      </c>
      <c r="D194" s="21" t="str">
        <f aca="false">INDEX(Locations!$C$2:$C$9,MATCH($B194,Locations!$A$2:$A$9,0))</f>
        <v>Cook/Douglass</v>
      </c>
      <c r="E194" s="18" t="s">
        <v>356</v>
      </c>
      <c r="F194" s="21" t="str">
        <f aca="false">INDEX(Products!$B$2:$B$29,MATCH($E194,Products!$A$2:$A$29,0))</f>
        <v>Always Ultra Thin Pads</v>
      </c>
      <c r="G194" s="21" t="str">
        <f aca="false">INDEX(Products!$C$2:$C$29,MATCH($E194,Products!$A$2:$A$29,0))</f>
        <v>Menstrual &amp; hygiene</v>
      </c>
      <c r="H194" s="18" t="s">
        <v>123</v>
      </c>
      <c r="I194" s="18" t="s">
        <v>392</v>
      </c>
      <c r="J194" s="18" t="str">
        <f aca="false">IF(H194="No","-",IF(I194="Available","Good supply",IF(I194="Low stock","Few left",IF(I194="Out of stock","None",IF(I194="Temporarily unavailable","Unavailable","Unknown")))))</f>
        <v>Good supply</v>
      </c>
      <c r="K194" s="18" t="s">
        <v>393</v>
      </c>
      <c r="L194" s="22" t="n">
        <v>46308.6</v>
      </c>
      <c r="M194" s="18" t="n">
        <f aca="false">IF(L194="","",ROUND((Config!$B$2-L194)*1440,0))</f>
        <v>36</v>
      </c>
      <c r="N194" s="18" t="n">
        <f aca="false">IF(K194="Staff verified",Config!$B$4,IF(OR(K194="Authorized student verified",K194="Multiple student reports",K194="Single student report"),Config!$B$3,""))</f>
        <v>240</v>
      </c>
      <c r="O194" s="18" t="str">
        <f aca="false">IF(H194="No","n/a",IF(L194="","Unverified Data",IF(M194&gt;N194,"Stale report",K194)))</f>
        <v>Staff verified</v>
      </c>
      <c r="P194" s="18" t="str">
        <f aca="false">IF(AND(H194="Yes",OR(I194="Available",I194="Low stock")),IF(O194="Stale report","Verify first","Yes"),"No")</f>
        <v>Yes</v>
      </c>
      <c r="Q194" s="18" t="str">
        <f aca="false">IF(H194="Yes","proposed_pending_approval","n/a")</f>
        <v>proposed_pending_approval</v>
      </c>
      <c r="R194" s="18" t="str">
        <f aca="false">IF(H194="Yes","Retail swipe (proposed) / RU Express / Cash or card","n/a")</f>
        <v>Retail swipe (proposed) / RU Express / Cash or card</v>
      </c>
      <c r="S194" s="21" t="str">
        <f aca="false">INDEX(Products!$I$2:$I$29,MATCH($E194,Products!$A$2:$A$29,0))</f>
        <v>1 package</v>
      </c>
      <c r="T194" s="18" t="n">
        <f aca="false">IF(H194="Yes",Config!$B$5,"")</f>
        <v>75</v>
      </c>
      <c r="U194" s="21" t="str">
        <f aca="false">INDEX(Products!$J$2:$J$29,MATCH($E194,Products!$A$2:$A$29,0))</f>
        <v>No</v>
      </c>
      <c r="V194" s="18" t="s">
        <v>394</v>
      </c>
    </row>
    <row r="195" customFormat="false" ht="15" hidden="false" customHeight="true" outlineLevel="0" collapsed="false">
      <c r="A195" s="18" t="s">
        <v>594</v>
      </c>
      <c r="B195" s="18" t="s">
        <v>178</v>
      </c>
      <c r="C195" s="21" t="str">
        <f aca="false">INDEX(Locations!$B$2:$B$9,MATCH($B195,Locations!$A$2:$A$9,0))</f>
        <v>Cook Cafe</v>
      </c>
      <c r="D195" s="21" t="str">
        <f aca="false">INDEX(Locations!$C$2:$C$9,MATCH($B195,Locations!$A$2:$A$9,0))</f>
        <v>Cook/Douglass</v>
      </c>
      <c r="E195" s="18" t="s">
        <v>363</v>
      </c>
      <c r="F195" s="21" t="str">
        <f aca="false">INDEX(Products!$B$2:$B$29,MATCH($E195,Products!$A$2:$A$29,0))</f>
        <v>Tampax Pearl Tampons</v>
      </c>
      <c r="G195" s="21" t="str">
        <f aca="false">INDEX(Products!$C$2:$C$29,MATCH($E195,Products!$A$2:$A$29,0))</f>
        <v>Menstrual &amp; hygiene</v>
      </c>
      <c r="H195" s="18" t="s">
        <v>123</v>
      </c>
      <c r="I195" s="18" t="s">
        <v>413</v>
      </c>
      <c r="J195" s="18" t="str">
        <f aca="false">IF(H195="No","-",IF(I195="Available","Good supply",IF(I195="Low stock","Few left",IF(I195="Out of stock","None",IF(I195="Temporarily unavailable","Unavailable","Unknown")))))</f>
        <v>Unknown</v>
      </c>
      <c r="K195" s="18" t="s">
        <v>409</v>
      </c>
      <c r="L195" s="22"/>
      <c r="M195" s="18" t="str">
        <f aca="false">IF(L195="","",ROUND((Config!$B$2-L195)*1440,0))</f>
        <v/>
      </c>
      <c r="N195" s="18" t="str">
        <f aca="false">IF(K195="Staff verified",Config!$B$4,IF(OR(K195="Authorized student verified",K195="Multiple student reports",K195="Single student report"),Config!$B$3,""))</f>
        <v/>
      </c>
      <c r="O195" s="18" t="str">
        <f aca="false">IF(H195="No","n/a",IF(L195="","Unverified Data",IF(M195&gt;N195,"Stale report",K195)))</f>
        <v>Unverified Data</v>
      </c>
      <c r="P195" s="18" t="str">
        <f aca="false">IF(AND(H195="Yes",OR(I195="Available",I195="Low stock")),IF(O195="Stale report","Verify first","Yes"),"No")</f>
        <v>No</v>
      </c>
      <c r="Q195" s="18" t="str">
        <f aca="false">IF(H195="Yes","proposed_pending_approval","n/a")</f>
        <v>proposed_pending_approval</v>
      </c>
      <c r="R195" s="18" t="str">
        <f aca="false">IF(H195="Yes","Retail swipe (proposed) / RU Express / Cash or card","n/a")</f>
        <v>Retail swipe (proposed) / RU Express / Cash or card</v>
      </c>
      <c r="S195" s="21" t="str">
        <f aca="false">INDEX(Products!$I$2:$I$29,MATCH($E195,Products!$A$2:$A$29,0))</f>
        <v>1 package</v>
      </c>
      <c r="T195" s="18" t="n">
        <f aca="false">IF(H195="Yes",Config!$B$5,"")</f>
        <v>75</v>
      </c>
      <c r="U195" s="21" t="str">
        <f aca="false">INDEX(Products!$J$2:$J$29,MATCH($E195,Products!$A$2:$A$29,0))</f>
        <v>No</v>
      </c>
      <c r="V195" s="18" t="s">
        <v>394</v>
      </c>
    </row>
    <row r="196" customFormat="false" ht="15" hidden="false" customHeight="true" outlineLevel="0" collapsed="false">
      <c r="A196" s="18" t="s">
        <v>595</v>
      </c>
      <c r="B196" s="18" t="s">
        <v>178</v>
      </c>
      <c r="C196" s="21" t="str">
        <f aca="false">INDEX(Locations!$B$2:$B$9,MATCH($B196,Locations!$A$2:$A$9,0))</f>
        <v>Cook Cafe</v>
      </c>
      <c r="D196" s="21" t="str">
        <f aca="false">INDEX(Locations!$C$2:$C$9,MATCH($B196,Locations!$A$2:$A$9,0))</f>
        <v>Cook/Douglass</v>
      </c>
      <c r="E196" s="18" t="s">
        <v>368</v>
      </c>
      <c r="F196" s="21" t="str">
        <f aca="false">INDEX(Products!$B$2:$B$29,MATCH($E196,Products!$A$2:$A$29,0))</f>
        <v>Purell Advanced Hand Sanitizer</v>
      </c>
      <c r="G196" s="21" t="str">
        <f aca="false">INDEX(Products!$C$2:$C$29,MATCH($E196,Products!$A$2:$A$29,0))</f>
        <v>Menstrual &amp; hygiene</v>
      </c>
      <c r="H196" s="18" t="s">
        <v>212</v>
      </c>
      <c r="I196" s="18" t="s">
        <v>487</v>
      </c>
      <c r="J196" s="18" t="str">
        <f aca="false">IF(H196="No","-",IF(I196="Available","Good supply",IF(I196="Low stock","Few left",IF(I196="Out of stock","None",IF(I196="Temporarily unavailable","Unavailable","Unknown")))))</f>
        <v>-</v>
      </c>
      <c r="K196" s="18"/>
      <c r="L196" s="22"/>
      <c r="M196" s="18" t="str">
        <f aca="false">IF(L196="","",ROUND((Config!$B$2-L196)*1440,0))</f>
        <v/>
      </c>
      <c r="N196" s="18" t="str">
        <f aca="false">IF(K196="Staff verified",Config!$B$4,IF(OR(K196="Authorized student verified",K196="Multiple student reports",K196="Single student report"),Config!$B$3,""))</f>
        <v/>
      </c>
      <c r="O196" s="18" t="str">
        <f aca="false">IF(H196="No","n/a",IF(L196="","Unverified Data",IF(M196&gt;N196,"Stale report",K196)))</f>
        <v>n/a</v>
      </c>
      <c r="P196" s="18" t="str">
        <f aca="false">IF(AND(H196="Yes",OR(I196="Available",I196="Low stock")),IF(O196="Stale report","Verify first","Yes"),"No")</f>
        <v>No</v>
      </c>
      <c r="Q196" s="18" t="str">
        <f aca="false">IF(H196="Yes","proposed_pending_approval","n/a")</f>
        <v>n/a</v>
      </c>
      <c r="R196" s="18" t="str">
        <f aca="false">IF(H196="Yes","Retail swipe (proposed) / RU Express / Cash or card","n/a")</f>
        <v>n/a</v>
      </c>
      <c r="S196" s="21" t="str">
        <f aca="false">INDEX(Products!$I$2:$I$29,MATCH($E196,Products!$A$2:$A$29,0))</f>
        <v>1 bottle</v>
      </c>
      <c r="T196" s="18" t="str">
        <f aca="false">IF(H196="Yes",Config!$B$5,"")</f>
        <v/>
      </c>
      <c r="U196" s="21" t="str">
        <f aca="false">INDEX(Products!$J$2:$J$29,MATCH($E196,Products!$A$2:$A$29,0))</f>
        <v>No</v>
      </c>
      <c r="V196" s="18" t="s">
        <v>394</v>
      </c>
    </row>
    <row r="197" customFormat="false" ht="15" hidden="false" customHeight="true" outlineLevel="0" collapsed="false">
      <c r="A197" s="18" t="s">
        <v>596</v>
      </c>
      <c r="B197" s="18" t="s">
        <v>178</v>
      </c>
      <c r="C197" s="21" t="str">
        <f aca="false">INDEX(Locations!$B$2:$B$9,MATCH($B197,Locations!$A$2:$A$9,0))</f>
        <v>Cook Cafe</v>
      </c>
      <c r="D197" s="21" t="str">
        <f aca="false">INDEX(Locations!$C$2:$C$9,MATCH($B197,Locations!$A$2:$A$9,0))</f>
        <v>Cook/Douglass</v>
      </c>
      <c r="E197" s="18" t="s">
        <v>374</v>
      </c>
      <c r="F197" s="21" t="str">
        <f aca="false">INDEX(Products!$B$2:$B$29,MATCH($E197,Products!$A$2:$A$29,0))</f>
        <v>Disposable face masks (brand varies)</v>
      </c>
      <c r="G197" s="21" t="str">
        <f aca="false">INDEX(Products!$C$2:$C$29,MATCH($E197,Products!$A$2:$A$29,0))</f>
        <v>Menstrual &amp; hygiene</v>
      </c>
      <c r="H197" s="18" t="s">
        <v>212</v>
      </c>
      <c r="I197" s="18" t="s">
        <v>487</v>
      </c>
      <c r="J197" s="18" t="str">
        <f aca="false">IF(H197="No","-",IF(I197="Available","Good supply",IF(I197="Low stock","Few left",IF(I197="Out of stock","None",IF(I197="Temporarily unavailable","Unavailable","Unknown")))))</f>
        <v>-</v>
      </c>
      <c r="K197" s="18"/>
      <c r="L197" s="22"/>
      <c r="M197" s="18" t="str">
        <f aca="false">IF(L197="","",ROUND((Config!$B$2-L197)*1440,0))</f>
        <v/>
      </c>
      <c r="N197" s="18" t="str">
        <f aca="false">IF(K197="Staff verified",Config!$B$4,IF(OR(K197="Authorized student verified",K197="Multiple student reports",K197="Single student report"),Config!$B$3,""))</f>
        <v/>
      </c>
      <c r="O197" s="18" t="str">
        <f aca="false">IF(H197="No","n/a",IF(L197="","Unverified Data",IF(M197&gt;N197,"Stale report",K197)))</f>
        <v>n/a</v>
      </c>
      <c r="P197" s="18" t="str">
        <f aca="false">IF(AND(H197="Yes",OR(I197="Available",I197="Low stock")),IF(O197="Stale report","Verify first","Yes"),"No")</f>
        <v>No</v>
      </c>
      <c r="Q197" s="18" t="str">
        <f aca="false">IF(H197="Yes","proposed_pending_approval","n/a")</f>
        <v>n/a</v>
      </c>
      <c r="R197" s="18" t="str">
        <f aca="false">IF(H197="Yes","Retail swipe (proposed) / RU Express / Cash or card","n/a")</f>
        <v>n/a</v>
      </c>
      <c r="S197" s="21" t="str">
        <f aca="false">INDEX(Products!$I$2:$I$29,MATCH($E197,Products!$A$2:$A$29,0))</f>
        <v>1 pack</v>
      </c>
      <c r="T197" s="18" t="str">
        <f aca="false">IF(H197="Yes",Config!$B$5,"")</f>
        <v/>
      </c>
      <c r="U197" s="21" t="str">
        <f aca="false">INDEX(Products!$J$2:$J$29,MATCH($E197,Products!$A$2:$A$29,0))</f>
        <v>No</v>
      </c>
      <c r="V197" s="18" t="s">
        <v>394</v>
      </c>
    </row>
    <row r="198" customFormat="false" ht="15" hidden="false" customHeight="true" outlineLevel="0" collapsed="false">
      <c r="A198" s="18" t="s">
        <v>597</v>
      </c>
      <c r="B198" s="18" t="s">
        <v>186</v>
      </c>
      <c r="C198" s="21" t="str">
        <f aca="false">INDEX(Locations!$B$2:$B$9,MATCH($B198,Locations!$A$2:$A$9,0))</f>
        <v>Douglass Cafe</v>
      </c>
      <c r="D198" s="21" t="str">
        <f aca="false">INDEX(Locations!$C$2:$C$9,MATCH($B198,Locations!$A$2:$A$9,0))</f>
        <v>Cook/Douglass</v>
      </c>
      <c r="E198" s="18" t="s">
        <v>204</v>
      </c>
      <c r="F198" s="21" t="str">
        <f aca="false">INDEX(Products!$B$2:$B$29,MATCH($E198,Products!$A$2:$A$29,0))</f>
        <v>Tylenol Extra Strength</v>
      </c>
      <c r="G198" s="21" t="str">
        <f aca="false">INDEX(Products!$C$2:$C$29,MATCH($E198,Products!$A$2:$A$29,0))</f>
        <v>Pain &amp; fever</v>
      </c>
      <c r="H198" s="18" t="s">
        <v>123</v>
      </c>
      <c r="I198" s="18" t="s">
        <v>392</v>
      </c>
      <c r="J198" s="18" t="str">
        <f aca="false">IF(H198="No","-",IF(I198="Available","Good supply",IF(I198="Low stock","Few left",IF(I198="Out of stock","None",IF(I198="Temporarily unavailable","Unavailable","Unknown")))))</f>
        <v>Good supply</v>
      </c>
      <c r="K198" s="18" t="s">
        <v>397</v>
      </c>
      <c r="L198" s="22" t="n">
        <v>46308.6027777778</v>
      </c>
      <c r="M198" s="18" t="n">
        <f aca="false">IF(L198="","",ROUND((Config!$B$2-L198)*1440,0))</f>
        <v>32</v>
      </c>
      <c r="N198" s="18" t="str">
        <f aca="false">IF(K198="Staff verified",Config!$B$4,IF(OR(K198="Authorized student verified",K198="Multiple student reports",K198="Single student report"),Config!$B$3,""))</f>
        <v/>
      </c>
      <c r="O198" s="18" t="str">
        <f aca="false">IF(H198="No","n/a",IF(L198="","Unverified Data",IF(M198&gt;N198,"Stale report",K198)))</f>
        <v>Verified student report</v>
      </c>
      <c r="P198" s="18" t="str">
        <f aca="false">IF(AND(H198="Yes",OR(I198="Available",I198="Low stock")),IF(O198="Stale report","Verify first","Yes"),"No")</f>
        <v>Yes</v>
      </c>
      <c r="Q198" s="18" t="str">
        <f aca="false">IF(H198="Yes","proposed_pending_approval","n/a")</f>
        <v>proposed_pending_approval</v>
      </c>
      <c r="R198" s="18" t="str">
        <f aca="false">IF(H198="Yes","Retail swipe (proposed) / RU Express / Cash or card","n/a")</f>
        <v>Retail swipe (proposed) / RU Express / Cash or card</v>
      </c>
      <c r="S198" s="21" t="str">
        <f aca="false">INDEX(Products!$I$2:$I$29,MATCH($E198,Products!$A$2:$A$29,0))</f>
        <v>1 package</v>
      </c>
      <c r="T198" s="18" t="n">
        <f aca="false">IF(H198="Yes",Config!$B$5,"")</f>
        <v>75</v>
      </c>
      <c r="U198" s="21" t="str">
        <f aca="false">INDEX(Products!$J$2:$J$29,MATCH($E198,Products!$A$2:$A$29,0))</f>
        <v>No</v>
      </c>
      <c r="V198" s="18" t="s">
        <v>394</v>
      </c>
    </row>
    <row r="199" customFormat="false" ht="15" hidden="false" customHeight="true" outlineLevel="0" collapsed="false">
      <c r="A199" s="18" t="s">
        <v>598</v>
      </c>
      <c r="B199" s="18" t="s">
        <v>186</v>
      </c>
      <c r="C199" s="21" t="str">
        <f aca="false">INDEX(Locations!$B$2:$B$9,MATCH($B199,Locations!$A$2:$A$9,0))</f>
        <v>Douglass Cafe</v>
      </c>
      <c r="D199" s="21" t="str">
        <f aca="false">INDEX(Locations!$C$2:$C$9,MATCH($B199,Locations!$A$2:$A$9,0))</f>
        <v>Cook/Douglass</v>
      </c>
      <c r="E199" s="18" t="s">
        <v>215</v>
      </c>
      <c r="F199" s="21" t="str">
        <f aca="false">INDEX(Products!$B$2:$B$29,MATCH($E199,Products!$A$2:$A$29,0))</f>
        <v>Advil</v>
      </c>
      <c r="G199" s="21" t="str">
        <f aca="false">INDEX(Products!$C$2:$C$29,MATCH($E199,Products!$A$2:$A$29,0))</f>
        <v>Pain &amp; fever</v>
      </c>
      <c r="H199" s="18" t="s">
        <v>123</v>
      </c>
      <c r="I199" s="18" t="s">
        <v>396</v>
      </c>
      <c r="J199" s="18" t="str">
        <f aca="false">IF(H199="No","-",IF(I199="Available","Good supply",IF(I199="Low stock","Few left",IF(I199="Out of stock","None",IF(I199="Temporarily unavailable","Unavailable","Unknown")))))</f>
        <v>None</v>
      </c>
      <c r="K199" s="18" t="s">
        <v>393</v>
      </c>
      <c r="L199" s="22" t="n">
        <v>46308.5069444445</v>
      </c>
      <c r="M199" s="18" t="n">
        <f aca="false">IF(L199="","",ROUND((Config!$B$2-L199)*1440,0))</f>
        <v>170</v>
      </c>
      <c r="N199" s="18" t="n">
        <f aca="false">IF(K199="Staff verified",Config!$B$4,IF(OR(K199="Authorized student verified",K199="Multiple student reports",K199="Single student report"),Config!$B$3,""))</f>
        <v>240</v>
      </c>
      <c r="O199" s="18" t="str">
        <f aca="false">IF(H199="No","n/a",IF(L199="","Unverified Data",IF(M199&gt;N199,"Stale report",K199)))</f>
        <v>Staff verified</v>
      </c>
      <c r="P199" s="18" t="str">
        <f aca="false">IF(AND(H199="Yes",OR(I199="Available",I199="Low stock")),IF(O199="Stale report","Verify first","Yes"),"No")</f>
        <v>No</v>
      </c>
      <c r="Q199" s="18" t="str">
        <f aca="false">IF(H199="Yes","proposed_pending_approval","n/a")</f>
        <v>proposed_pending_approval</v>
      </c>
      <c r="R199" s="18" t="str">
        <f aca="false">IF(H199="Yes","Retail swipe (proposed) / RU Express / Cash or card","n/a")</f>
        <v>Retail swipe (proposed) / RU Express / Cash or card</v>
      </c>
      <c r="S199" s="21" t="str">
        <f aca="false">INDEX(Products!$I$2:$I$29,MATCH($E199,Products!$A$2:$A$29,0))</f>
        <v>1 package</v>
      </c>
      <c r="T199" s="18" t="n">
        <f aca="false">IF(H199="Yes",Config!$B$5,"")</f>
        <v>75</v>
      </c>
      <c r="U199" s="21" t="str">
        <f aca="false">INDEX(Products!$J$2:$J$29,MATCH($E199,Products!$A$2:$A$29,0))</f>
        <v>No</v>
      </c>
      <c r="V199" s="18" t="s">
        <v>394</v>
      </c>
    </row>
    <row r="200" customFormat="false" ht="15" hidden="false" customHeight="true" outlineLevel="0" collapsed="false">
      <c r="A200" s="18" t="s">
        <v>599</v>
      </c>
      <c r="B200" s="18" t="s">
        <v>186</v>
      </c>
      <c r="C200" s="21" t="str">
        <f aca="false">INDEX(Locations!$B$2:$B$9,MATCH($B200,Locations!$A$2:$A$9,0))</f>
        <v>Douglass Cafe</v>
      </c>
      <c r="D200" s="21" t="str">
        <f aca="false">INDEX(Locations!$C$2:$C$9,MATCH($B200,Locations!$A$2:$A$9,0))</f>
        <v>Cook/Douglass</v>
      </c>
      <c r="E200" s="18" t="s">
        <v>220</v>
      </c>
      <c r="F200" s="21" t="str">
        <f aca="false">INDEX(Products!$B$2:$B$29,MATCH($E200,Products!$A$2:$A$29,0))</f>
        <v>Aleve</v>
      </c>
      <c r="G200" s="21" t="str">
        <f aca="false">INDEX(Products!$C$2:$C$29,MATCH($E200,Products!$A$2:$A$29,0))</f>
        <v>Pain &amp; fever</v>
      </c>
      <c r="H200" s="18" t="s">
        <v>212</v>
      </c>
      <c r="I200" s="18" t="s">
        <v>487</v>
      </c>
      <c r="J200" s="18" t="str">
        <f aca="false">IF(H200="No","-",IF(I200="Available","Good supply",IF(I200="Low stock","Few left",IF(I200="Out of stock","None",IF(I200="Temporarily unavailable","Unavailable","Unknown")))))</f>
        <v>-</v>
      </c>
      <c r="K200" s="18"/>
      <c r="L200" s="22"/>
      <c r="M200" s="18" t="str">
        <f aca="false">IF(L200="","",ROUND((Config!$B$2-L200)*1440,0))</f>
        <v/>
      </c>
      <c r="N200" s="18" t="str">
        <f aca="false">IF(K200="Staff verified",Config!$B$4,IF(OR(K200="Authorized student verified",K200="Multiple student reports",K200="Single student report"),Config!$B$3,""))</f>
        <v/>
      </c>
      <c r="O200" s="18" t="str">
        <f aca="false">IF(H200="No","n/a",IF(L200="","Unverified Data",IF(M200&gt;N200,"Stale report",K200)))</f>
        <v>n/a</v>
      </c>
      <c r="P200" s="18" t="str">
        <f aca="false">IF(AND(H200="Yes",OR(I200="Available",I200="Low stock")),IF(O200="Stale report","Verify first","Yes"),"No")</f>
        <v>No</v>
      </c>
      <c r="Q200" s="18" t="str">
        <f aca="false">IF(H200="Yes","proposed_pending_approval","n/a")</f>
        <v>n/a</v>
      </c>
      <c r="R200" s="18" t="str">
        <f aca="false">IF(H200="Yes","Retail swipe (proposed) / RU Express / Cash or card","n/a")</f>
        <v>n/a</v>
      </c>
      <c r="S200" s="21" t="str">
        <f aca="false">INDEX(Products!$I$2:$I$29,MATCH($E200,Products!$A$2:$A$29,0))</f>
        <v>1 package</v>
      </c>
      <c r="T200" s="18" t="str">
        <f aca="false">IF(H200="Yes",Config!$B$5,"")</f>
        <v/>
      </c>
      <c r="U200" s="21" t="str">
        <f aca="false">INDEX(Products!$J$2:$J$29,MATCH($E200,Products!$A$2:$A$29,0))</f>
        <v>No</v>
      </c>
      <c r="V200" s="18" t="s">
        <v>394</v>
      </c>
    </row>
    <row r="201" customFormat="false" ht="15" hidden="false" customHeight="true" outlineLevel="0" collapsed="false">
      <c r="A201" s="18" t="s">
        <v>600</v>
      </c>
      <c r="B201" s="18" t="s">
        <v>186</v>
      </c>
      <c r="C201" s="21" t="str">
        <f aca="false">INDEX(Locations!$B$2:$B$9,MATCH($B201,Locations!$A$2:$A$9,0))</f>
        <v>Douglass Cafe</v>
      </c>
      <c r="D201" s="21" t="str">
        <f aca="false">INDEX(Locations!$C$2:$C$9,MATCH($B201,Locations!$A$2:$A$9,0))</f>
        <v>Cook/Douglass</v>
      </c>
      <c r="E201" s="18" t="s">
        <v>226</v>
      </c>
      <c r="F201" s="21" t="str">
        <f aca="false">INDEX(Products!$B$2:$B$29,MATCH($E201,Products!$A$2:$A$29,0))</f>
        <v>Excedrin Migraine</v>
      </c>
      <c r="G201" s="21" t="str">
        <f aca="false">INDEX(Products!$C$2:$C$29,MATCH($E201,Products!$A$2:$A$29,0))</f>
        <v>Pain &amp; fever</v>
      </c>
      <c r="H201" s="18" t="s">
        <v>212</v>
      </c>
      <c r="I201" s="18" t="s">
        <v>487</v>
      </c>
      <c r="J201" s="18" t="str">
        <f aca="false">IF(H201="No","-",IF(I201="Available","Good supply",IF(I201="Low stock","Few left",IF(I201="Out of stock","None",IF(I201="Temporarily unavailable","Unavailable","Unknown")))))</f>
        <v>-</v>
      </c>
      <c r="K201" s="18"/>
      <c r="L201" s="22"/>
      <c r="M201" s="18" t="str">
        <f aca="false">IF(L201="","",ROUND((Config!$B$2-L201)*1440,0))</f>
        <v/>
      </c>
      <c r="N201" s="18" t="str">
        <f aca="false">IF(K201="Staff verified",Config!$B$4,IF(OR(K201="Authorized student verified",K201="Multiple student reports",K201="Single student report"),Config!$B$3,""))</f>
        <v/>
      </c>
      <c r="O201" s="18" t="str">
        <f aca="false">IF(H201="No","n/a",IF(L201="","Unverified Data",IF(M201&gt;N201,"Stale report",K201)))</f>
        <v>n/a</v>
      </c>
      <c r="P201" s="18" t="str">
        <f aca="false">IF(AND(H201="Yes",OR(I201="Available",I201="Low stock")),IF(O201="Stale report","Verify first","Yes"),"No")</f>
        <v>No</v>
      </c>
      <c r="Q201" s="18" t="str">
        <f aca="false">IF(H201="Yes","proposed_pending_approval","n/a")</f>
        <v>n/a</v>
      </c>
      <c r="R201" s="18" t="str">
        <f aca="false">IF(H201="Yes","Retail swipe (proposed) / RU Express / Cash or card","n/a")</f>
        <v>n/a</v>
      </c>
      <c r="S201" s="21" t="str">
        <f aca="false">INDEX(Products!$I$2:$I$29,MATCH($E201,Products!$A$2:$A$29,0))</f>
        <v>1 package</v>
      </c>
      <c r="T201" s="18" t="str">
        <f aca="false">IF(H201="Yes",Config!$B$5,"")</f>
        <v/>
      </c>
      <c r="U201" s="21" t="str">
        <f aca="false">INDEX(Products!$J$2:$J$29,MATCH($E201,Products!$A$2:$A$29,0))</f>
        <v>No</v>
      </c>
      <c r="V201" s="18" t="s">
        <v>394</v>
      </c>
    </row>
    <row r="202" customFormat="false" ht="15" hidden="false" customHeight="true" outlineLevel="0" collapsed="false">
      <c r="A202" s="18" t="s">
        <v>601</v>
      </c>
      <c r="B202" s="18" t="s">
        <v>186</v>
      </c>
      <c r="C202" s="21" t="str">
        <f aca="false">INDEX(Locations!$B$2:$B$9,MATCH($B202,Locations!$A$2:$A$9,0))</f>
        <v>Douglass Cafe</v>
      </c>
      <c r="D202" s="21" t="str">
        <f aca="false">INDEX(Locations!$C$2:$C$9,MATCH($B202,Locations!$A$2:$A$9,0))</f>
        <v>Cook/Douglass</v>
      </c>
      <c r="E202" s="18" t="s">
        <v>232</v>
      </c>
      <c r="F202" s="21" t="str">
        <f aca="false">INDEX(Products!$B$2:$B$29,MATCH($E202,Products!$A$2:$A$29,0))</f>
        <v>Halls Mentho-Lyptus</v>
      </c>
      <c r="G202" s="21" t="str">
        <f aca="false">INDEX(Products!$C$2:$C$29,MATCH($E202,Products!$A$2:$A$29,0))</f>
        <v>Cold &amp; cough</v>
      </c>
      <c r="H202" s="18" t="s">
        <v>123</v>
      </c>
      <c r="I202" s="18" t="s">
        <v>413</v>
      </c>
      <c r="J202" s="18" t="str">
        <f aca="false">IF(H202="No","-",IF(I202="Available","Good supply",IF(I202="Low stock","Few left",IF(I202="Out of stock","None",IF(I202="Temporarily unavailable","Unavailable","Unknown")))))</f>
        <v>Unknown</v>
      </c>
      <c r="K202" s="18" t="s">
        <v>409</v>
      </c>
      <c r="L202" s="22"/>
      <c r="M202" s="18" t="str">
        <f aca="false">IF(L202="","",ROUND((Config!$B$2-L202)*1440,0))</f>
        <v/>
      </c>
      <c r="N202" s="18" t="str">
        <f aca="false">IF(K202="Staff verified",Config!$B$4,IF(OR(K202="Authorized student verified",K202="Multiple student reports",K202="Single student report"),Config!$B$3,""))</f>
        <v/>
      </c>
      <c r="O202" s="18" t="str">
        <f aca="false">IF(H202="No","n/a",IF(L202="","Unverified Data",IF(M202&gt;N202,"Stale report",K202)))</f>
        <v>Unverified Data</v>
      </c>
      <c r="P202" s="18" t="str">
        <f aca="false">IF(AND(H202="Yes",OR(I202="Available",I202="Low stock")),IF(O202="Stale report","Verify first","Yes"),"No")</f>
        <v>No</v>
      </c>
      <c r="Q202" s="18" t="str">
        <f aca="false">IF(H202="Yes","proposed_pending_approval","n/a")</f>
        <v>proposed_pending_approval</v>
      </c>
      <c r="R202" s="18" t="str">
        <f aca="false">IF(H202="Yes","Retail swipe (proposed) / RU Express / Cash or card","n/a")</f>
        <v>Retail swipe (proposed) / RU Express / Cash or card</v>
      </c>
      <c r="S202" s="21" t="str">
        <f aca="false">INDEX(Products!$I$2:$I$29,MATCH($E202,Products!$A$2:$A$29,0))</f>
        <v>2 bags</v>
      </c>
      <c r="T202" s="18" t="n">
        <f aca="false">IF(H202="Yes",Config!$B$5,"")</f>
        <v>75</v>
      </c>
      <c r="U202" s="21" t="str">
        <f aca="false">INDEX(Products!$J$2:$J$29,MATCH($E202,Products!$A$2:$A$29,0))</f>
        <v>No</v>
      </c>
      <c r="V202" s="18" t="s">
        <v>394</v>
      </c>
    </row>
    <row r="203" customFormat="false" ht="15" hidden="false" customHeight="true" outlineLevel="0" collapsed="false">
      <c r="A203" s="18" t="s">
        <v>602</v>
      </c>
      <c r="B203" s="18" t="s">
        <v>186</v>
      </c>
      <c r="C203" s="21" t="str">
        <f aca="false">INDEX(Locations!$B$2:$B$9,MATCH($B203,Locations!$A$2:$A$9,0))</f>
        <v>Douglass Cafe</v>
      </c>
      <c r="D203" s="21" t="str">
        <f aca="false">INDEX(Locations!$C$2:$C$9,MATCH($B203,Locations!$A$2:$A$9,0))</f>
        <v>Cook/Douglass</v>
      </c>
      <c r="E203" s="18" t="s">
        <v>240</v>
      </c>
      <c r="F203" s="21" t="str">
        <f aca="false">INDEX(Products!$B$2:$B$29,MATCH($E203,Products!$A$2:$A$29,0))</f>
        <v>Ricola Original Natural Herb</v>
      </c>
      <c r="G203" s="21" t="str">
        <f aca="false">INDEX(Products!$C$2:$C$29,MATCH($E203,Products!$A$2:$A$29,0))</f>
        <v>Cold &amp; cough</v>
      </c>
      <c r="H203" s="18" t="s">
        <v>212</v>
      </c>
      <c r="I203" s="18" t="s">
        <v>487</v>
      </c>
      <c r="J203" s="18" t="str">
        <f aca="false">IF(H203="No","-",IF(I203="Available","Good supply",IF(I203="Low stock","Few left",IF(I203="Out of stock","None",IF(I203="Temporarily unavailable","Unavailable","Unknown")))))</f>
        <v>-</v>
      </c>
      <c r="K203" s="18"/>
      <c r="L203" s="22"/>
      <c r="M203" s="18" t="str">
        <f aca="false">IF(L203="","",ROUND((Config!$B$2-L203)*1440,0))</f>
        <v/>
      </c>
      <c r="N203" s="18" t="str">
        <f aca="false">IF(K203="Staff verified",Config!$B$4,IF(OR(K203="Authorized student verified",K203="Multiple student reports",K203="Single student report"),Config!$B$3,""))</f>
        <v/>
      </c>
      <c r="O203" s="18" t="str">
        <f aca="false">IF(H203="No","n/a",IF(L203="","Unverified Data",IF(M203&gt;N203,"Stale report",K203)))</f>
        <v>n/a</v>
      </c>
      <c r="P203" s="18" t="str">
        <f aca="false">IF(AND(H203="Yes",OR(I203="Available",I203="Low stock")),IF(O203="Stale report","Verify first","Yes"),"No")</f>
        <v>No</v>
      </c>
      <c r="Q203" s="18" t="str">
        <f aca="false">IF(H203="Yes","proposed_pending_approval","n/a")</f>
        <v>n/a</v>
      </c>
      <c r="R203" s="18" t="str">
        <f aca="false">IF(H203="Yes","Retail swipe (proposed) / RU Express / Cash or card","n/a")</f>
        <v>n/a</v>
      </c>
      <c r="S203" s="21" t="str">
        <f aca="false">INDEX(Products!$I$2:$I$29,MATCH($E203,Products!$A$2:$A$29,0))</f>
        <v>2 bags</v>
      </c>
      <c r="T203" s="18" t="str">
        <f aca="false">IF(H203="Yes",Config!$B$5,"")</f>
        <v/>
      </c>
      <c r="U203" s="21" t="str">
        <f aca="false">INDEX(Products!$J$2:$J$29,MATCH($E203,Products!$A$2:$A$29,0))</f>
        <v>No</v>
      </c>
      <c r="V203" s="18" t="s">
        <v>394</v>
      </c>
    </row>
    <row r="204" customFormat="false" ht="15" hidden="false" customHeight="true" outlineLevel="0" collapsed="false">
      <c r="A204" s="18" t="s">
        <v>603</v>
      </c>
      <c r="B204" s="18" t="s">
        <v>186</v>
      </c>
      <c r="C204" s="21" t="str">
        <f aca="false">INDEX(Locations!$B$2:$B$9,MATCH($B204,Locations!$A$2:$A$9,0))</f>
        <v>Douglass Cafe</v>
      </c>
      <c r="D204" s="21" t="str">
        <f aca="false">INDEX(Locations!$C$2:$C$9,MATCH($B204,Locations!$A$2:$A$9,0))</f>
        <v>Cook/Douglass</v>
      </c>
      <c r="E204" s="18" t="s">
        <v>245</v>
      </c>
      <c r="F204" s="21" t="str">
        <f aca="false">INDEX(Products!$B$2:$B$29,MATCH($E204,Products!$A$2:$A$29,0))</f>
        <v>Chloraseptic Sore Throat Spray</v>
      </c>
      <c r="G204" s="21" t="str">
        <f aca="false">INDEX(Products!$C$2:$C$29,MATCH($E204,Products!$A$2:$A$29,0))</f>
        <v>Cold &amp; cough</v>
      </c>
      <c r="H204" s="18" t="s">
        <v>212</v>
      </c>
      <c r="I204" s="18" t="s">
        <v>487</v>
      </c>
      <c r="J204" s="18" t="str">
        <f aca="false">IF(H204="No","-",IF(I204="Available","Good supply",IF(I204="Low stock","Few left",IF(I204="Out of stock","None",IF(I204="Temporarily unavailable","Unavailable","Unknown")))))</f>
        <v>-</v>
      </c>
      <c r="K204" s="18"/>
      <c r="L204" s="22"/>
      <c r="M204" s="18" t="str">
        <f aca="false">IF(L204="","",ROUND((Config!$B$2-L204)*1440,0))</f>
        <v/>
      </c>
      <c r="N204" s="18" t="str">
        <f aca="false">IF(K204="Staff verified",Config!$B$4,IF(OR(K204="Authorized student verified",K204="Multiple student reports",K204="Single student report"),Config!$B$3,""))</f>
        <v/>
      </c>
      <c r="O204" s="18" t="str">
        <f aca="false">IF(H204="No","n/a",IF(L204="","Unverified Data",IF(M204&gt;N204,"Stale report",K204)))</f>
        <v>n/a</v>
      </c>
      <c r="P204" s="18" t="str">
        <f aca="false">IF(AND(H204="Yes",OR(I204="Available",I204="Low stock")),IF(O204="Stale report","Verify first","Yes"),"No")</f>
        <v>No</v>
      </c>
      <c r="Q204" s="18" t="str">
        <f aca="false">IF(H204="Yes","proposed_pending_approval","n/a")</f>
        <v>n/a</v>
      </c>
      <c r="R204" s="18" t="str">
        <f aca="false">IF(H204="Yes","Retail swipe (proposed) / RU Express / Cash or card","n/a")</f>
        <v>n/a</v>
      </c>
      <c r="S204" s="21" t="str">
        <f aca="false">INDEX(Products!$I$2:$I$29,MATCH($E204,Products!$A$2:$A$29,0))</f>
        <v>1 bottle</v>
      </c>
      <c r="T204" s="18" t="str">
        <f aca="false">IF(H204="Yes",Config!$B$5,"")</f>
        <v/>
      </c>
      <c r="U204" s="21" t="str">
        <f aca="false">INDEX(Products!$J$2:$J$29,MATCH($E204,Products!$A$2:$A$29,0))</f>
        <v>No</v>
      </c>
      <c r="V204" s="18" t="s">
        <v>394</v>
      </c>
    </row>
    <row r="205" customFormat="false" ht="15" hidden="false" customHeight="true" outlineLevel="0" collapsed="false">
      <c r="A205" s="18" t="s">
        <v>604</v>
      </c>
      <c r="B205" s="18" t="s">
        <v>186</v>
      </c>
      <c r="C205" s="21" t="str">
        <f aca="false">INDEX(Locations!$B$2:$B$9,MATCH($B205,Locations!$A$2:$A$9,0))</f>
        <v>Douglass Cafe</v>
      </c>
      <c r="D205" s="21" t="str">
        <f aca="false">INDEX(Locations!$C$2:$C$9,MATCH($B205,Locations!$A$2:$A$9,0))</f>
        <v>Cook/Douglass</v>
      </c>
      <c r="E205" s="18" t="s">
        <v>251</v>
      </c>
      <c r="F205" s="21" t="str">
        <f aca="false">INDEX(Products!$B$2:$B$29,MATCH($E205,Products!$A$2:$A$29,0))</f>
        <v>Mucinex</v>
      </c>
      <c r="G205" s="21" t="str">
        <f aca="false">INDEX(Products!$C$2:$C$29,MATCH($E205,Products!$A$2:$A$29,0))</f>
        <v>Cold &amp; cough</v>
      </c>
      <c r="H205" s="18" t="s">
        <v>123</v>
      </c>
      <c r="I205" s="18" t="s">
        <v>404</v>
      </c>
      <c r="J205" s="18" t="str">
        <f aca="false">IF(H205="No","-",IF(I205="Available","Good supply",IF(I205="Low stock","Few left",IF(I205="Out of stock","None",IF(I205="Temporarily unavailable","Unavailable","Unknown")))))</f>
        <v>Few left</v>
      </c>
      <c r="K205" s="18" t="s">
        <v>409</v>
      </c>
      <c r="L205" s="22"/>
      <c r="M205" s="18" t="str">
        <f aca="false">IF(L205="","",ROUND((Config!$B$2-L205)*1440,0))</f>
        <v/>
      </c>
      <c r="N205" s="18" t="str">
        <f aca="false">IF(K205="Staff verified",Config!$B$4,IF(OR(K205="Authorized student verified",K205="Multiple student reports",K205="Single student report"),Config!$B$3,""))</f>
        <v/>
      </c>
      <c r="O205" s="18" t="str">
        <f aca="false">IF(H205="No","n/a",IF(L205="","Unverified Data",IF(M205&gt;N205,"Stale report",K205)))</f>
        <v>Unverified Data</v>
      </c>
      <c r="P205" s="18" t="str">
        <f aca="false">IF(AND(H205="Yes",OR(I205="Available",I205="Low stock")),IF(O205="Stale report","Verify first","Yes"),"No")</f>
        <v>Yes</v>
      </c>
      <c r="Q205" s="18" t="str">
        <f aca="false">IF(H205="Yes","proposed_pending_approval","n/a")</f>
        <v>proposed_pending_approval</v>
      </c>
      <c r="R205" s="18" t="str">
        <f aca="false">IF(H205="Yes","Retail swipe (proposed) / RU Express / Cash or card","n/a")</f>
        <v>Retail swipe (proposed) / RU Express / Cash or card</v>
      </c>
      <c r="S205" s="21" t="str">
        <f aca="false">INDEX(Products!$I$2:$I$29,MATCH($E205,Products!$A$2:$A$29,0))</f>
        <v>1 package</v>
      </c>
      <c r="T205" s="18" t="n">
        <f aca="false">IF(H205="Yes",Config!$B$5,"")</f>
        <v>75</v>
      </c>
      <c r="U205" s="21" t="str">
        <f aca="false">INDEX(Products!$J$2:$J$29,MATCH($E205,Products!$A$2:$A$29,0))</f>
        <v>No</v>
      </c>
      <c r="V205" s="18" t="s">
        <v>394</v>
      </c>
    </row>
    <row r="206" customFormat="false" ht="15" hidden="false" customHeight="true" outlineLevel="0" collapsed="false">
      <c r="A206" s="18" t="s">
        <v>605</v>
      </c>
      <c r="B206" s="18" t="s">
        <v>186</v>
      </c>
      <c r="C206" s="21" t="str">
        <f aca="false">INDEX(Locations!$B$2:$B$9,MATCH($B206,Locations!$A$2:$A$9,0))</f>
        <v>Douglass Cafe</v>
      </c>
      <c r="D206" s="21" t="str">
        <f aca="false">INDEX(Locations!$C$2:$C$9,MATCH($B206,Locations!$A$2:$A$9,0))</f>
        <v>Cook/Douglass</v>
      </c>
      <c r="E206" s="18" t="s">
        <v>257</v>
      </c>
      <c r="F206" s="21" t="str">
        <f aca="false">INDEX(Products!$B$2:$B$29,MATCH($E206,Products!$A$2:$A$29,0))</f>
        <v>Robitussin DM</v>
      </c>
      <c r="G206" s="21" t="str">
        <f aca="false">INDEX(Products!$C$2:$C$29,MATCH($E206,Products!$A$2:$A$29,0))</f>
        <v>Cold &amp; cough</v>
      </c>
      <c r="H206" s="18" t="s">
        <v>212</v>
      </c>
      <c r="I206" s="18" t="s">
        <v>487</v>
      </c>
      <c r="J206" s="18" t="str">
        <f aca="false">IF(H206="No","-",IF(I206="Available","Good supply",IF(I206="Low stock","Few left",IF(I206="Out of stock","None",IF(I206="Temporarily unavailable","Unavailable","Unknown")))))</f>
        <v>-</v>
      </c>
      <c r="K206" s="18"/>
      <c r="L206" s="22"/>
      <c r="M206" s="18" t="str">
        <f aca="false">IF(L206="","",ROUND((Config!$B$2-L206)*1440,0))</f>
        <v/>
      </c>
      <c r="N206" s="18" t="str">
        <f aca="false">IF(K206="Staff verified",Config!$B$4,IF(OR(K206="Authorized student verified",K206="Multiple student reports",K206="Single student report"),Config!$B$3,""))</f>
        <v/>
      </c>
      <c r="O206" s="18" t="str">
        <f aca="false">IF(H206="No","n/a",IF(L206="","Unverified Data",IF(M206&gt;N206,"Stale report",K206)))</f>
        <v>n/a</v>
      </c>
      <c r="P206" s="18" t="str">
        <f aca="false">IF(AND(H206="Yes",OR(I206="Available",I206="Low stock")),IF(O206="Stale report","Verify first","Yes"),"No")</f>
        <v>No</v>
      </c>
      <c r="Q206" s="18" t="str">
        <f aca="false">IF(H206="Yes","proposed_pending_approval","n/a")</f>
        <v>n/a</v>
      </c>
      <c r="R206" s="18" t="str">
        <f aca="false">IF(H206="Yes","Retail swipe (proposed) / RU Express / Cash or card","n/a")</f>
        <v>n/a</v>
      </c>
      <c r="S206" s="21" t="str">
        <f aca="false">INDEX(Products!$I$2:$I$29,MATCH($E206,Products!$A$2:$A$29,0))</f>
        <v>1 bottle</v>
      </c>
      <c r="T206" s="18" t="str">
        <f aca="false">IF(H206="Yes",Config!$B$5,"")</f>
        <v/>
      </c>
      <c r="U206" s="21" t="str">
        <f aca="false">INDEX(Products!$J$2:$J$29,MATCH($E206,Products!$A$2:$A$29,0))</f>
        <v>No</v>
      </c>
      <c r="V206" s="18" t="s">
        <v>394</v>
      </c>
    </row>
    <row r="207" customFormat="false" ht="15" hidden="false" customHeight="true" outlineLevel="0" collapsed="false">
      <c r="A207" s="18" t="s">
        <v>606</v>
      </c>
      <c r="B207" s="18" t="s">
        <v>186</v>
      </c>
      <c r="C207" s="21" t="str">
        <f aca="false">INDEX(Locations!$B$2:$B$9,MATCH($B207,Locations!$A$2:$A$9,0))</f>
        <v>Douglass Cafe</v>
      </c>
      <c r="D207" s="21" t="str">
        <f aca="false">INDEX(Locations!$C$2:$C$9,MATCH($B207,Locations!$A$2:$A$9,0))</f>
        <v>Cook/Douglass</v>
      </c>
      <c r="E207" s="18" t="s">
        <v>263</v>
      </c>
      <c r="F207" s="21" t="str">
        <f aca="false">INDEX(Products!$B$2:$B$29,MATCH($E207,Products!$A$2:$A$29,0))</f>
        <v>Simply Saline Nasal Mist</v>
      </c>
      <c r="G207" s="21" t="str">
        <f aca="false">INDEX(Products!$C$2:$C$29,MATCH($E207,Products!$A$2:$A$29,0))</f>
        <v>Cold &amp; cough</v>
      </c>
      <c r="H207" s="18" t="s">
        <v>212</v>
      </c>
      <c r="I207" s="18" t="s">
        <v>487</v>
      </c>
      <c r="J207" s="18" t="str">
        <f aca="false">IF(H207="No","-",IF(I207="Available","Good supply",IF(I207="Low stock","Few left",IF(I207="Out of stock","None",IF(I207="Temporarily unavailable","Unavailable","Unknown")))))</f>
        <v>-</v>
      </c>
      <c r="K207" s="18"/>
      <c r="L207" s="22"/>
      <c r="M207" s="18" t="str">
        <f aca="false">IF(L207="","",ROUND((Config!$B$2-L207)*1440,0))</f>
        <v/>
      </c>
      <c r="N207" s="18" t="str">
        <f aca="false">IF(K207="Staff verified",Config!$B$4,IF(OR(K207="Authorized student verified",K207="Multiple student reports",K207="Single student report"),Config!$B$3,""))</f>
        <v/>
      </c>
      <c r="O207" s="18" t="str">
        <f aca="false">IF(H207="No","n/a",IF(L207="","Unverified Data",IF(M207&gt;N207,"Stale report",K207)))</f>
        <v>n/a</v>
      </c>
      <c r="P207" s="18" t="str">
        <f aca="false">IF(AND(H207="Yes",OR(I207="Available",I207="Low stock")),IF(O207="Stale report","Verify first","Yes"),"No")</f>
        <v>No</v>
      </c>
      <c r="Q207" s="18" t="str">
        <f aca="false">IF(H207="Yes","proposed_pending_approval","n/a")</f>
        <v>n/a</v>
      </c>
      <c r="R207" s="18" t="str">
        <f aca="false">IF(H207="Yes","Retail swipe (proposed) / RU Express / Cash or card","n/a")</f>
        <v>n/a</v>
      </c>
      <c r="S207" s="21" t="str">
        <f aca="false">INDEX(Products!$I$2:$I$29,MATCH($E207,Products!$A$2:$A$29,0))</f>
        <v>1 bottle</v>
      </c>
      <c r="T207" s="18" t="str">
        <f aca="false">IF(H207="Yes",Config!$B$5,"")</f>
        <v/>
      </c>
      <c r="U207" s="21" t="str">
        <f aca="false">INDEX(Products!$J$2:$J$29,MATCH($E207,Products!$A$2:$A$29,0))</f>
        <v>No</v>
      </c>
      <c r="V207" s="18" t="s">
        <v>394</v>
      </c>
    </row>
    <row r="208" customFormat="false" ht="15" hidden="false" customHeight="true" outlineLevel="0" collapsed="false">
      <c r="A208" s="18" t="s">
        <v>607</v>
      </c>
      <c r="B208" s="18" t="s">
        <v>186</v>
      </c>
      <c r="C208" s="21" t="str">
        <f aca="false">INDEX(Locations!$B$2:$B$9,MATCH($B208,Locations!$A$2:$A$9,0))</f>
        <v>Douglass Cafe</v>
      </c>
      <c r="D208" s="21" t="str">
        <f aca="false">INDEX(Locations!$C$2:$C$9,MATCH($B208,Locations!$A$2:$A$9,0))</f>
        <v>Cook/Douglass</v>
      </c>
      <c r="E208" s="18" t="s">
        <v>268</v>
      </c>
      <c r="F208" s="21" t="str">
        <f aca="false">INDEX(Products!$B$2:$B$29,MATCH($E208,Products!$A$2:$A$29,0))</f>
        <v>Claritin</v>
      </c>
      <c r="G208" s="21" t="str">
        <f aca="false">INDEX(Products!$C$2:$C$29,MATCH($E208,Products!$A$2:$A$29,0))</f>
        <v>Allergy</v>
      </c>
      <c r="H208" s="18" t="s">
        <v>123</v>
      </c>
      <c r="I208" s="18" t="s">
        <v>396</v>
      </c>
      <c r="J208" s="18" t="str">
        <f aca="false">IF(H208="No","-",IF(I208="Available","Good supply",IF(I208="Low stock","Few left",IF(I208="Out of stock","None",IF(I208="Temporarily unavailable","Unavailable","Unknown")))))</f>
        <v>None</v>
      </c>
      <c r="K208" s="18" t="s">
        <v>397</v>
      </c>
      <c r="L208" s="22" t="n">
        <v>46308.6166666667</v>
      </c>
      <c r="M208" s="18" t="n">
        <f aca="false">IF(L208="","",ROUND((Config!$B$2-L208)*1440,0))</f>
        <v>12</v>
      </c>
      <c r="N208" s="18" t="str">
        <f aca="false">IF(K208="Staff verified",Config!$B$4,IF(OR(K208="Authorized student verified",K208="Multiple student reports",K208="Single student report"),Config!$B$3,""))</f>
        <v/>
      </c>
      <c r="O208" s="18" t="str">
        <f aca="false">IF(H208="No","n/a",IF(L208="","Unverified Data",IF(M208&gt;N208,"Stale report",K208)))</f>
        <v>Verified student report</v>
      </c>
      <c r="P208" s="18" t="str">
        <f aca="false">IF(AND(H208="Yes",OR(I208="Available",I208="Low stock")),IF(O208="Stale report","Verify first","Yes"),"No")</f>
        <v>No</v>
      </c>
      <c r="Q208" s="18" t="str">
        <f aca="false">IF(H208="Yes","proposed_pending_approval","n/a")</f>
        <v>proposed_pending_approval</v>
      </c>
      <c r="R208" s="18" t="str">
        <f aca="false">IF(H208="Yes","Retail swipe (proposed) / RU Express / Cash or card","n/a")</f>
        <v>Retail swipe (proposed) / RU Express / Cash or card</v>
      </c>
      <c r="S208" s="21" t="str">
        <f aca="false">INDEX(Products!$I$2:$I$29,MATCH($E208,Products!$A$2:$A$29,0))</f>
        <v>1 package</v>
      </c>
      <c r="T208" s="18" t="n">
        <f aca="false">IF(H208="Yes",Config!$B$5,"")</f>
        <v>75</v>
      </c>
      <c r="U208" s="21" t="str">
        <f aca="false">INDEX(Products!$J$2:$J$29,MATCH($E208,Products!$A$2:$A$29,0))</f>
        <v>No</v>
      </c>
      <c r="V208" s="18" t="s">
        <v>394</v>
      </c>
    </row>
    <row r="209" customFormat="false" ht="15" hidden="false" customHeight="true" outlineLevel="0" collapsed="false">
      <c r="A209" s="18" t="s">
        <v>608</v>
      </c>
      <c r="B209" s="18" t="s">
        <v>186</v>
      </c>
      <c r="C209" s="21" t="str">
        <f aca="false">INDEX(Locations!$B$2:$B$9,MATCH($B209,Locations!$A$2:$A$9,0))</f>
        <v>Douglass Cafe</v>
      </c>
      <c r="D209" s="21" t="str">
        <f aca="false">INDEX(Locations!$C$2:$C$9,MATCH($B209,Locations!$A$2:$A$9,0))</f>
        <v>Cook/Douglass</v>
      </c>
      <c r="E209" s="18" t="s">
        <v>275</v>
      </c>
      <c r="F209" s="21" t="str">
        <f aca="false">INDEX(Products!$B$2:$B$29,MATCH($E209,Products!$A$2:$A$29,0))</f>
        <v>Zyrtec</v>
      </c>
      <c r="G209" s="21" t="str">
        <f aca="false">INDEX(Products!$C$2:$C$29,MATCH($E209,Products!$A$2:$A$29,0))</f>
        <v>Allergy</v>
      </c>
      <c r="H209" s="18" t="s">
        <v>212</v>
      </c>
      <c r="I209" s="18" t="s">
        <v>487</v>
      </c>
      <c r="J209" s="18" t="str">
        <f aca="false">IF(H209="No","-",IF(I209="Available","Good supply",IF(I209="Low stock","Few left",IF(I209="Out of stock","None",IF(I209="Temporarily unavailable","Unavailable","Unknown")))))</f>
        <v>-</v>
      </c>
      <c r="K209" s="18"/>
      <c r="L209" s="22"/>
      <c r="M209" s="18" t="str">
        <f aca="false">IF(L209="","",ROUND((Config!$B$2-L209)*1440,0))</f>
        <v/>
      </c>
      <c r="N209" s="18" t="str">
        <f aca="false">IF(K209="Staff verified",Config!$B$4,IF(OR(K209="Authorized student verified",K209="Multiple student reports",K209="Single student report"),Config!$B$3,""))</f>
        <v/>
      </c>
      <c r="O209" s="18" t="str">
        <f aca="false">IF(H209="No","n/a",IF(L209="","Unverified Data",IF(M209&gt;N209,"Stale report",K209)))</f>
        <v>n/a</v>
      </c>
      <c r="P209" s="18" t="str">
        <f aca="false">IF(AND(H209="Yes",OR(I209="Available",I209="Low stock")),IF(O209="Stale report","Verify first","Yes"),"No")</f>
        <v>No</v>
      </c>
      <c r="Q209" s="18" t="str">
        <f aca="false">IF(H209="Yes","proposed_pending_approval","n/a")</f>
        <v>n/a</v>
      </c>
      <c r="R209" s="18" t="str">
        <f aca="false">IF(H209="Yes","Retail swipe (proposed) / RU Express / Cash or card","n/a")</f>
        <v>n/a</v>
      </c>
      <c r="S209" s="21" t="str">
        <f aca="false">INDEX(Products!$I$2:$I$29,MATCH($E209,Products!$A$2:$A$29,0))</f>
        <v>1 package</v>
      </c>
      <c r="T209" s="18" t="str">
        <f aca="false">IF(H209="Yes",Config!$B$5,"")</f>
        <v/>
      </c>
      <c r="U209" s="21" t="str">
        <f aca="false">INDEX(Products!$J$2:$J$29,MATCH($E209,Products!$A$2:$A$29,0))</f>
        <v>No</v>
      </c>
      <c r="V209" s="18" t="s">
        <v>394</v>
      </c>
    </row>
    <row r="210" customFormat="false" ht="15" hidden="false" customHeight="true" outlineLevel="0" collapsed="false">
      <c r="A210" s="18" t="s">
        <v>609</v>
      </c>
      <c r="B210" s="18" t="s">
        <v>186</v>
      </c>
      <c r="C210" s="21" t="str">
        <f aca="false">INDEX(Locations!$B$2:$B$9,MATCH($B210,Locations!$A$2:$A$9,0))</f>
        <v>Douglass Cafe</v>
      </c>
      <c r="D210" s="21" t="str">
        <f aca="false">INDEX(Locations!$C$2:$C$9,MATCH($B210,Locations!$A$2:$A$9,0))</f>
        <v>Cook/Douglass</v>
      </c>
      <c r="E210" s="18" t="s">
        <v>281</v>
      </c>
      <c r="F210" s="21" t="str">
        <f aca="false">INDEX(Products!$B$2:$B$29,MATCH($E210,Products!$A$2:$A$29,0))</f>
        <v>Benadryl</v>
      </c>
      <c r="G210" s="21" t="str">
        <f aca="false">INDEX(Products!$C$2:$C$29,MATCH($E210,Products!$A$2:$A$29,0))</f>
        <v>Allergy</v>
      </c>
      <c r="H210" s="18" t="s">
        <v>212</v>
      </c>
      <c r="I210" s="18" t="s">
        <v>487</v>
      </c>
      <c r="J210" s="18" t="str">
        <f aca="false">IF(H210="No","-",IF(I210="Available","Good supply",IF(I210="Low stock","Few left",IF(I210="Out of stock","None",IF(I210="Temporarily unavailable","Unavailable","Unknown")))))</f>
        <v>-</v>
      </c>
      <c r="K210" s="18"/>
      <c r="L210" s="22"/>
      <c r="M210" s="18" t="str">
        <f aca="false">IF(L210="","",ROUND((Config!$B$2-L210)*1440,0))</f>
        <v/>
      </c>
      <c r="N210" s="18" t="str">
        <f aca="false">IF(K210="Staff verified",Config!$B$4,IF(OR(K210="Authorized student verified",K210="Multiple student reports",K210="Single student report"),Config!$B$3,""))</f>
        <v/>
      </c>
      <c r="O210" s="18" t="str">
        <f aca="false">IF(H210="No","n/a",IF(L210="","Unverified Data",IF(M210&gt;N210,"Stale report",K210)))</f>
        <v>n/a</v>
      </c>
      <c r="P210" s="18" t="str">
        <f aca="false">IF(AND(H210="Yes",OR(I210="Available",I210="Low stock")),IF(O210="Stale report","Verify first","Yes"),"No")</f>
        <v>No</v>
      </c>
      <c r="Q210" s="18" t="str">
        <f aca="false">IF(H210="Yes","proposed_pending_approval","n/a")</f>
        <v>n/a</v>
      </c>
      <c r="R210" s="18" t="str">
        <f aca="false">IF(H210="Yes","Retail swipe (proposed) / RU Express / Cash or card","n/a")</f>
        <v>n/a</v>
      </c>
      <c r="S210" s="21" t="str">
        <f aca="false">INDEX(Products!$I$2:$I$29,MATCH($E210,Products!$A$2:$A$29,0))</f>
        <v>1 package</v>
      </c>
      <c r="T210" s="18" t="str">
        <f aca="false">IF(H210="Yes",Config!$B$5,"")</f>
        <v/>
      </c>
      <c r="U210" s="21" t="str">
        <f aca="false">INDEX(Products!$J$2:$J$29,MATCH($E210,Products!$A$2:$A$29,0))</f>
        <v>No</v>
      </c>
      <c r="V210" s="18" t="s">
        <v>394</v>
      </c>
    </row>
    <row r="211" customFormat="false" ht="15" hidden="false" customHeight="true" outlineLevel="0" collapsed="false">
      <c r="A211" s="18" t="s">
        <v>610</v>
      </c>
      <c r="B211" s="18" t="s">
        <v>186</v>
      </c>
      <c r="C211" s="21" t="str">
        <f aca="false">INDEX(Locations!$B$2:$B$9,MATCH($B211,Locations!$A$2:$A$9,0))</f>
        <v>Douglass Cafe</v>
      </c>
      <c r="D211" s="21" t="str">
        <f aca="false">INDEX(Locations!$C$2:$C$9,MATCH($B211,Locations!$A$2:$A$9,0))</f>
        <v>Cook/Douglass</v>
      </c>
      <c r="E211" s="18" t="s">
        <v>287</v>
      </c>
      <c r="F211" s="21" t="str">
        <f aca="false">INDEX(Products!$B$2:$B$29,MATCH($E211,Products!$A$2:$A$29,0))</f>
        <v>Tums</v>
      </c>
      <c r="G211" s="21" t="str">
        <f aca="false">INDEX(Products!$C$2:$C$29,MATCH($E211,Products!$A$2:$A$29,0))</f>
        <v>Digestive</v>
      </c>
      <c r="H211" s="18" t="s">
        <v>123</v>
      </c>
      <c r="I211" s="18" t="s">
        <v>392</v>
      </c>
      <c r="J211" s="18" t="str">
        <f aca="false">IF(H211="No","-",IF(I211="Available","Good supply",IF(I211="Low stock","Few left",IF(I211="Out of stock","None",IF(I211="Temporarily unavailable","Unavailable","Unknown")))))</f>
        <v>Good supply</v>
      </c>
      <c r="K211" s="18" t="s">
        <v>409</v>
      </c>
      <c r="L211" s="22"/>
      <c r="M211" s="18" t="str">
        <f aca="false">IF(L211="","",ROUND((Config!$B$2-L211)*1440,0))</f>
        <v/>
      </c>
      <c r="N211" s="18" t="str">
        <f aca="false">IF(K211="Staff verified",Config!$B$4,IF(OR(K211="Authorized student verified",K211="Multiple student reports",K211="Single student report"),Config!$B$3,""))</f>
        <v/>
      </c>
      <c r="O211" s="18" t="str">
        <f aca="false">IF(H211="No","n/a",IF(L211="","Unverified Data",IF(M211&gt;N211,"Stale report",K211)))</f>
        <v>Unverified Data</v>
      </c>
      <c r="P211" s="18" t="str">
        <f aca="false">IF(AND(H211="Yes",OR(I211="Available",I211="Low stock")),IF(O211="Stale report","Verify first","Yes"),"No")</f>
        <v>Yes</v>
      </c>
      <c r="Q211" s="18" t="str">
        <f aca="false">IF(H211="Yes","proposed_pending_approval","n/a")</f>
        <v>proposed_pending_approval</v>
      </c>
      <c r="R211" s="18" t="str">
        <f aca="false">IF(H211="Yes","Retail swipe (proposed) / RU Express / Cash or card","n/a")</f>
        <v>Retail swipe (proposed) / RU Express / Cash or card</v>
      </c>
      <c r="S211" s="21" t="str">
        <f aca="false">INDEX(Products!$I$2:$I$29,MATCH($E211,Products!$A$2:$A$29,0))</f>
        <v>1 package</v>
      </c>
      <c r="T211" s="18" t="n">
        <f aca="false">IF(H211="Yes",Config!$B$5,"")</f>
        <v>75</v>
      </c>
      <c r="U211" s="21" t="str">
        <f aca="false">INDEX(Products!$J$2:$J$29,MATCH($E211,Products!$A$2:$A$29,0))</f>
        <v>No</v>
      </c>
      <c r="V211" s="18" t="s">
        <v>394</v>
      </c>
    </row>
    <row r="212" customFormat="false" ht="15" hidden="false" customHeight="true" outlineLevel="0" collapsed="false">
      <c r="A212" s="18" t="s">
        <v>611</v>
      </c>
      <c r="B212" s="18" t="s">
        <v>186</v>
      </c>
      <c r="C212" s="21" t="str">
        <f aca="false">INDEX(Locations!$B$2:$B$9,MATCH($B212,Locations!$A$2:$A$9,0))</f>
        <v>Douglass Cafe</v>
      </c>
      <c r="D212" s="21" t="str">
        <f aca="false">INDEX(Locations!$C$2:$C$9,MATCH($B212,Locations!$A$2:$A$9,0))</f>
        <v>Cook/Douglass</v>
      </c>
      <c r="E212" s="18" t="s">
        <v>293</v>
      </c>
      <c r="F212" s="21" t="str">
        <f aca="false">INDEX(Products!$B$2:$B$29,MATCH($E212,Products!$A$2:$A$29,0))</f>
        <v>Pepto-Bismol</v>
      </c>
      <c r="G212" s="21" t="str">
        <f aca="false">INDEX(Products!$C$2:$C$29,MATCH($E212,Products!$A$2:$A$29,0))</f>
        <v>Digestive</v>
      </c>
      <c r="H212" s="18" t="s">
        <v>123</v>
      </c>
      <c r="I212" s="18" t="s">
        <v>392</v>
      </c>
      <c r="J212" s="18" t="str">
        <f aca="false">IF(H212="No","-",IF(I212="Available","Good supply",IF(I212="Low stock","Few left",IF(I212="Out of stock","None",IF(I212="Temporarily unavailable","Unavailable","Unknown")))))</f>
        <v>Good supply</v>
      </c>
      <c r="K212" s="18" t="s">
        <v>409</v>
      </c>
      <c r="L212" s="22"/>
      <c r="M212" s="18" t="str">
        <f aca="false">IF(L212="","",ROUND((Config!$B$2-L212)*1440,0))</f>
        <v/>
      </c>
      <c r="N212" s="18" t="str">
        <f aca="false">IF(K212="Staff verified",Config!$B$4,IF(OR(K212="Authorized student verified",K212="Multiple student reports",K212="Single student report"),Config!$B$3,""))</f>
        <v/>
      </c>
      <c r="O212" s="18" t="str">
        <f aca="false">IF(H212="No","n/a",IF(L212="","Unverified Data",IF(M212&gt;N212,"Stale report",K212)))</f>
        <v>Unverified Data</v>
      </c>
      <c r="P212" s="18" t="str">
        <f aca="false">IF(AND(H212="Yes",OR(I212="Available",I212="Low stock")),IF(O212="Stale report","Verify first","Yes"),"No")</f>
        <v>Yes</v>
      </c>
      <c r="Q212" s="18" t="str">
        <f aca="false">IF(H212="Yes","proposed_pending_approval","n/a")</f>
        <v>proposed_pending_approval</v>
      </c>
      <c r="R212" s="18" t="str">
        <f aca="false">IF(H212="Yes","Retail swipe (proposed) / RU Express / Cash or card","n/a")</f>
        <v>Retail swipe (proposed) / RU Express / Cash or card</v>
      </c>
      <c r="S212" s="21" t="str">
        <f aca="false">INDEX(Products!$I$2:$I$29,MATCH($E212,Products!$A$2:$A$29,0))</f>
        <v>1 package</v>
      </c>
      <c r="T212" s="18" t="n">
        <f aca="false">IF(H212="Yes",Config!$B$5,"")</f>
        <v>75</v>
      </c>
      <c r="U212" s="21" t="str">
        <f aca="false">INDEX(Products!$J$2:$J$29,MATCH($E212,Products!$A$2:$A$29,0))</f>
        <v>No</v>
      </c>
      <c r="V212" s="18" t="s">
        <v>394</v>
      </c>
    </row>
    <row r="213" customFormat="false" ht="15" hidden="false" customHeight="true" outlineLevel="0" collapsed="false">
      <c r="A213" s="18" t="s">
        <v>612</v>
      </c>
      <c r="B213" s="18" t="s">
        <v>186</v>
      </c>
      <c r="C213" s="21" t="str">
        <f aca="false">INDEX(Locations!$B$2:$B$9,MATCH($B213,Locations!$A$2:$A$9,0))</f>
        <v>Douglass Cafe</v>
      </c>
      <c r="D213" s="21" t="str">
        <f aca="false">INDEX(Locations!$C$2:$C$9,MATCH($B213,Locations!$A$2:$A$9,0))</f>
        <v>Cook/Douglass</v>
      </c>
      <c r="E213" s="18" t="s">
        <v>299</v>
      </c>
      <c r="F213" s="21" t="str">
        <f aca="false">INDEX(Products!$B$2:$B$29,MATCH($E213,Products!$A$2:$A$29,0))</f>
        <v>Imodium A-D</v>
      </c>
      <c r="G213" s="21" t="str">
        <f aca="false">INDEX(Products!$C$2:$C$29,MATCH($E213,Products!$A$2:$A$29,0))</f>
        <v>Digestive</v>
      </c>
      <c r="H213" s="18" t="s">
        <v>212</v>
      </c>
      <c r="I213" s="18" t="s">
        <v>487</v>
      </c>
      <c r="J213" s="18" t="str">
        <f aca="false">IF(H213="No","-",IF(I213="Available","Good supply",IF(I213="Low stock","Few left",IF(I213="Out of stock","None",IF(I213="Temporarily unavailable","Unavailable","Unknown")))))</f>
        <v>-</v>
      </c>
      <c r="K213" s="18"/>
      <c r="L213" s="22"/>
      <c r="M213" s="18" t="str">
        <f aca="false">IF(L213="","",ROUND((Config!$B$2-L213)*1440,0))</f>
        <v/>
      </c>
      <c r="N213" s="18" t="str">
        <f aca="false">IF(K213="Staff verified",Config!$B$4,IF(OR(K213="Authorized student verified",K213="Multiple student reports",K213="Single student report"),Config!$B$3,""))</f>
        <v/>
      </c>
      <c r="O213" s="18" t="str">
        <f aca="false">IF(H213="No","n/a",IF(L213="","Unverified Data",IF(M213&gt;N213,"Stale report",K213)))</f>
        <v>n/a</v>
      </c>
      <c r="P213" s="18" t="str">
        <f aca="false">IF(AND(H213="Yes",OR(I213="Available",I213="Low stock")),IF(O213="Stale report","Verify first","Yes"),"No")</f>
        <v>No</v>
      </c>
      <c r="Q213" s="18" t="str">
        <f aca="false">IF(H213="Yes","proposed_pending_approval","n/a")</f>
        <v>n/a</v>
      </c>
      <c r="R213" s="18" t="str">
        <f aca="false">IF(H213="Yes","Retail swipe (proposed) / RU Express / Cash or card","n/a")</f>
        <v>n/a</v>
      </c>
      <c r="S213" s="21" t="str">
        <f aca="false">INDEX(Products!$I$2:$I$29,MATCH($E213,Products!$A$2:$A$29,0))</f>
        <v>1 package</v>
      </c>
      <c r="T213" s="18" t="str">
        <f aca="false">IF(H213="Yes",Config!$B$5,"")</f>
        <v/>
      </c>
      <c r="U213" s="21" t="str">
        <f aca="false">INDEX(Products!$J$2:$J$29,MATCH($E213,Products!$A$2:$A$29,0))</f>
        <v>No</v>
      </c>
      <c r="V213" s="18" t="s">
        <v>394</v>
      </c>
    </row>
    <row r="214" customFormat="false" ht="15" hidden="false" customHeight="true" outlineLevel="0" collapsed="false">
      <c r="A214" s="18" t="s">
        <v>613</v>
      </c>
      <c r="B214" s="18" t="s">
        <v>186</v>
      </c>
      <c r="C214" s="21" t="str">
        <f aca="false">INDEX(Locations!$B$2:$B$9,MATCH($B214,Locations!$A$2:$A$9,0))</f>
        <v>Douglass Cafe</v>
      </c>
      <c r="D214" s="21" t="str">
        <f aca="false">INDEX(Locations!$C$2:$C$9,MATCH($B214,Locations!$A$2:$A$9,0))</f>
        <v>Cook/Douglass</v>
      </c>
      <c r="E214" s="18" t="s">
        <v>305</v>
      </c>
      <c r="F214" s="21" t="str">
        <f aca="false">INDEX(Products!$B$2:$B$29,MATCH($E214,Products!$A$2:$A$29,0))</f>
        <v>Pedialyte</v>
      </c>
      <c r="G214" s="21" t="str">
        <f aca="false">INDEX(Products!$C$2:$C$29,MATCH($E214,Products!$A$2:$A$29,0))</f>
        <v>Hydration</v>
      </c>
      <c r="H214" s="18" t="s">
        <v>123</v>
      </c>
      <c r="I214" s="18" t="s">
        <v>404</v>
      </c>
      <c r="J214" s="18" t="str">
        <f aca="false">IF(H214="No","-",IF(I214="Available","Good supply",IF(I214="Low stock","Few left",IF(I214="Out of stock","None",IF(I214="Temporarily unavailable","Unavailable","Unknown")))))</f>
        <v>Few left</v>
      </c>
      <c r="K214" s="18" t="s">
        <v>393</v>
      </c>
      <c r="L214" s="22" t="n">
        <v>46308.4944444444</v>
      </c>
      <c r="M214" s="18" t="n">
        <f aca="false">IF(L214="","",ROUND((Config!$B$2-L214)*1440,0))</f>
        <v>188</v>
      </c>
      <c r="N214" s="18" t="n">
        <f aca="false">IF(K214="Staff verified",Config!$B$4,IF(OR(K214="Authorized student verified",K214="Multiple student reports",K214="Single student report"),Config!$B$3,""))</f>
        <v>240</v>
      </c>
      <c r="O214" s="18" t="str">
        <f aca="false">IF(H214="No","n/a",IF(L214="","Unverified Data",IF(M214&gt;N214,"Stale report",K214)))</f>
        <v>Staff verified</v>
      </c>
      <c r="P214" s="18" t="str">
        <f aca="false">IF(AND(H214="Yes",OR(I214="Available",I214="Low stock")),IF(O214="Stale report","Verify first","Yes"),"No")</f>
        <v>Yes</v>
      </c>
      <c r="Q214" s="18" t="str">
        <f aca="false">IF(H214="Yes","proposed_pending_approval","n/a")</f>
        <v>proposed_pending_approval</v>
      </c>
      <c r="R214" s="18" t="str">
        <f aca="false">IF(H214="Yes","Retail swipe (proposed) / RU Express / Cash or card","n/a")</f>
        <v>Retail swipe (proposed) / RU Express / Cash or card</v>
      </c>
      <c r="S214" s="21" t="str">
        <f aca="false">INDEX(Products!$I$2:$I$29,MATCH($E214,Products!$A$2:$A$29,0))</f>
        <v>2 bottles</v>
      </c>
      <c r="T214" s="18" t="n">
        <f aca="false">IF(H214="Yes",Config!$B$5,"")</f>
        <v>75</v>
      </c>
      <c r="U214" s="21" t="str">
        <f aca="false">INDEX(Products!$J$2:$J$29,MATCH($E214,Products!$A$2:$A$29,0))</f>
        <v>No</v>
      </c>
      <c r="V214" s="18" t="s">
        <v>394</v>
      </c>
    </row>
    <row r="215" customFormat="false" ht="15" hidden="false" customHeight="true" outlineLevel="0" collapsed="false">
      <c r="A215" s="18" t="s">
        <v>614</v>
      </c>
      <c r="B215" s="18" t="s">
        <v>186</v>
      </c>
      <c r="C215" s="21" t="str">
        <f aca="false">INDEX(Locations!$B$2:$B$9,MATCH($B215,Locations!$A$2:$A$9,0))</f>
        <v>Douglass Cafe</v>
      </c>
      <c r="D215" s="21" t="str">
        <f aca="false">INDEX(Locations!$C$2:$C$9,MATCH($B215,Locations!$A$2:$A$9,0))</f>
        <v>Cook/Douglass</v>
      </c>
      <c r="E215" s="18" t="s">
        <v>312</v>
      </c>
      <c r="F215" s="21" t="str">
        <f aca="false">INDEX(Products!$B$2:$B$29,MATCH($E215,Products!$A$2:$A$29,0))</f>
        <v>Digital thermometer (brand varies)</v>
      </c>
      <c r="G215" s="21" t="str">
        <f aca="false">INDEX(Products!$C$2:$C$29,MATCH($E215,Products!$A$2:$A$29,0))</f>
        <v>Diagnostics</v>
      </c>
      <c r="H215" s="18" t="s">
        <v>123</v>
      </c>
      <c r="I215" s="18" t="s">
        <v>404</v>
      </c>
      <c r="J215" s="18" t="str">
        <f aca="false">IF(H215="No","-",IF(I215="Available","Good supply",IF(I215="Low stock","Few left",IF(I215="Out of stock","None",IF(I215="Temporarily unavailable","Unavailable","Unknown")))))</f>
        <v>Few left</v>
      </c>
      <c r="K215" s="18" t="s">
        <v>397</v>
      </c>
      <c r="L215" s="22" t="n">
        <v>46308.6111111111</v>
      </c>
      <c r="M215" s="18" t="n">
        <f aca="false">IF(L215="","",ROUND((Config!$B$2-L215)*1440,0))</f>
        <v>20</v>
      </c>
      <c r="N215" s="18" t="str">
        <f aca="false">IF(K215="Staff verified",Config!$B$4,IF(OR(K215="Authorized student verified",K215="Multiple student reports",K215="Single student report"),Config!$B$3,""))</f>
        <v/>
      </c>
      <c r="O215" s="18" t="str">
        <f aca="false">IF(H215="No","n/a",IF(L215="","Unverified Data",IF(M215&gt;N215,"Stale report",K215)))</f>
        <v>Verified student report</v>
      </c>
      <c r="P215" s="18" t="str">
        <f aca="false">IF(AND(H215="Yes",OR(I215="Available",I215="Low stock")),IF(O215="Stale report","Verify first","Yes"),"No")</f>
        <v>Yes</v>
      </c>
      <c r="Q215" s="18" t="str">
        <f aca="false">IF(H215="Yes","proposed_pending_approval","n/a")</f>
        <v>proposed_pending_approval</v>
      </c>
      <c r="R215" s="18" t="str">
        <f aca="false">IF(H215="Yes","Retail swipe (proposed) / RU Express / Cash or card","n/a")</f>
        <v>Retail swipe (proposed) / RU Express / Cash or card</v>
      </c>
      <c r="S215" s="21" t="str">
        <f aca="false">INDEX(Products!$I$2:$I$29,MATCH($E215,Products!$A$2:$A$29,0))</f>
        <v>1 unit</v>
      </c>
      <c r="T215" s="18" t="n">
        <f aca="false">IF(H215="Yes",Config!$B$5,"")</f>
        <v>75</v>
      </c>
      <c r="U215" s="21" t="str">
        <f aca="false">INDEX(Products!$J$2:$J$29,MATCH($E215,Products!$A$2:$A$29,0))</f>
        <v>No</v>
      </c>
      <c r="V215" s="18" t="s">
        <v>394</v>
      </c>
    </row>
    <row r="216" customFormat="false" ht="15" hidden="false" customHeight="true" outlineLevel="0" collapsed="false">
      <c r="A216" s="18" t="s">
        <v>615</v>
      </c>
      <c r="B216" s="18" t="s">
        <v>186</v>
      </c>
      <c r="C216" s="21" t="str">
        <f aca="false">INDEX(Locations!$B$2:$B$9,MATCH($B216,Locations!$A$2:$A$9,0))</f>
        <v>Douglass Cafe</v>
      </c>
      <c r="D216" s="21" t="str">
        <f aca="false">INDEX(Locations!$C$2:$C$9,MATCH($B216,Locations!$A$2:$A$9,0))</f>
        <v>Cook/Douglass</v>
      </c>
      <c r="E216" s="18" t="s">
        <v>320</v>
      </c>
      <c r="F216" s="21" t="str">
        <f aca="false">INDEX(Products!$B$2:$B$29,MATCH($E216,Products!$A$2:$A$29,0))</f>
        <v>iHealth COVID-19 Antigen Rapid Test</v>
      </c>
      <c r="G216" s="21" t="str">
        <f aca="false">INDEX(Products!$C$2:$C$29,MATCH($E216,Products!$A$2:$A$29,0))</f>
        <v>Diagnostics</v>
      </c>
      <c r="H216" s="18" t="s">
        <v>212</v>
      </c>
      <c r="I216" s="18" t="s">
        <v>487</v>
      </c>
      <c r="J216" s="18" t="str">
        <f aca="false">IF(H216="No","-",IF(I216="Available","Good supply",IF(I216="Low stock","Few left",IF(I216="Out of stock","None",IF(I216="Temporarily unavailable","Unavailable","Unknown")))))</f>
        <v>-</v>
      </c>
      <c r="K216" s="18"/>
      <c r="L216" s="22"/>
      <c r="M216" s="18" t="str">
        <f aca="false">IF(L216="","",ROUND((Config!$B$2-L216)*1440,0))</f>
        <v/>
      </c>
      <c r="N216" s="18" t="str">
        <f aca="false">IF(K216="Staff verified",Config!$B$4,IF(OR(K216="Authorized student verified",K216="Multiple student reports",K216="Single student report"),Config!$B$3,""))</f>
        <v/>
      </c>
      <c r="O216" s="18" t="str">
        <f aca="false">IF(H216="No","n/a",IF(L216="","Unverified Data",IF(M216&gt;N216,"Stale report",K216)))</f>
        <v>n/a</v>
      </c>
      <c r="P216" s="18" t="str">
        <f aca="false">IF(AND(H216="Yes",OR(I216="Available",I216="Low stock")),IF(O216="Stale report","Verify first","Yes"),"No")</f>
        <v>No</v>
      </c>
      <c r="Q216" s="18" t="str">
        <f aca="false">IF(H216="Yes","proposed_pending_approval","n/a")</f>
        <v>n/a</v>
      </c>
      <c r="R216" s="18" t="str">
        <f aca="false">IF(H216="Yes","Retail swipe (proposed) / RU Express / Cash or card","n/a")</f>
        <v>n/a</v>
      </c>
      <c r="S216" s="21" t="str">
        <f aca="false">INDEX(Products!$I$2:$I$29,MATCH($E216,Products!$A$2:$A$29,0))</f>
        <v>1 kit</v>
      </c>
      <c r="T216" s="18" t="str">
        <f aca="false">IF(H216="Yes",Config!$B$5,"")</f>
        <v/>
      </c>
      <c r="U216" s="21" t="str">
        <f aca="false">INDEX(Products!$J$2:$J$29,MATCH($E216,Products!$A$2:$A$29,0))</f>
        <v>No</v>
      </c>
      <c r="V216" s="18" t="s">
        <v>394</v>
      </c>
    </row>
    <row r="217" customFormat="false" ht="15" hidden="false" customHeight="true" outlineLevel="0" collapsed="false">
      <c r="A217" s="18" t="s">
        <v>616</v>
      </c>
      <c r="B217" s="18" t="s">
        <v>186</v>
      </c>
      <c r="C217" s="21" t="str">
        <f aca="false">INDEX(Locations!$B$2:$B$9,MATCH($B217,Locations!$A$2:$A$9,0))</f>
        <v>Douglass Cafe</v>
      </c>
      <c r="D217" s="21" t="str">
        <f aca="false">INDEX(Locations!$C$2:$C$9,MATCH($B217,Locations!$A$2:$A$9,0))</f>
        <v>Cook/Douglass</v>
      </c>
      <c r="E217" s="18" t="s">
        <v>327</v>
      </c>
      <c r="F217" s="21" t="str">
        <f aca="false">INDEX(Products!$B$2:$B$29,MATCH($E217,Products!$A$2:$A$29,0))</f>
        <v>Band-Aid Brand Adhesive Bandages</v>
      </c>
      <c r="G217" s="21" t="str">
        <f aca="false">INDEX(Products!$C$2:$C$29,MATCH($E217,Products!$A$2:$A$29,0))</f>
        <v>First aid &amp; comfort</v>
      </c>
      <c r="H217" s="18" t="s">
        <v>123</v>
      </c>
      <c r="I217" s="18" t="s">
        <v>396</v>
      </c>
      <c r="J217" s="18" t="str">
        <f aca="false">IF(H217="No","-",IF(I217="Available","Good supply",IF(I217="Low stock","Few left",IF(I217="Out of stock","None",IF(I217="Temporarily unavailable","Unavailable","Unknown")))))</f>
        <v>None</v>
      </c>
      <c r="K217" s="18" t="s">
        <v>397</v>
      </c>
      <c r="L217" s="22" t="n">
        <v>46308.5284722222</v>
      </c>
      <c r="M217" s="18" t="n">
        <f aca="false">IF(L217="","",ROUND((Config!$B$2-L217)*1440,0))</f>
        <v>139</v>
      </c>
      <c r="N217" s="18" t="str">
        <f aca="false">IF(K217="Staff verified",Config!$B$4,IF(OR(K217="Authorized student verified",K217="Multiple student reports",K217="Single student report"),Config!$B$3,""))</f>
        <v/>
      </c>
      <c r="O217" s="18" t="str">
        <f aca="false">IF(H217="No","n/a",IF(L217="","Unverified Data",IF(M217&gt;N217,"Stale report",K217)))</f>
        <v>Verified student report</v>
      </c>
      <c r="P217" s="18" t="str">
        <f aca="false">IF(AND(H217="Yes",OR(I217="Available",I217="Low stock")),IF(O217="Stale report","Verify first","Yes"),"No")</f>
        <v>No</v>
      </c>
      <c r="Q217" s="18" t="str">
        <f aca="false">IF(H217="Yes","proposed_pending_approval","n/a")</f>
        <v>proposed_pending_approval</v>
      </c>
      <c r="R217" s="18" t="str">
        <f aca="false">IF(H217="Yes","Retail swipe (proposed) / RU Express / Cash or card","n/a")</f>
        <v>Retail swipe (proposed) / RU Express / Cash or card</v>
      </c>
      <c r="S217" s="21" t="str">
        <f aca="false">INDEX(Products!$I$2:$I$29,MATCH($E217,Products!$A$2:$A$29,0))</f>
        <v>1 box</v>
      </c>
      <c r="T217" s="18" t="n">
        <f aca="false">IF(H217="Yes",Config!$B$5,"")</f>
        <v>75</v>
      </c>
      <c r="U217" s="21" t="str">
        <f aca="false">INDEX(Products!$J$2:$J$29,MATCH($E217,Products!$A$2:$A$29,0))</f>
        <v>No</v>
      </c>
      <c r="V217" s="18" t="s">
        <v>394</v>
      </c>
    </row>
    <row r="218" customFormat="false" ht="15" hidden="false" customHeight="true" outlineLevel="0" collapsed="false">
      <c r="A218" s="18" t="s">
        <v>617</v>
      </c>
      <c r="B218" s="18" t="s">
        <v>186</v>
      </c>
      <c r="C218" s="21" t="str">
        <f aca="false">INDEX(Locations!$B$2:$B$9,MATCH($B218,Locations!$A$2:$A$9,0))</f>
        <v>Douglass Cafe</v>
      </c>
      <c r="D218" s="21" t="str">
        <f aca="false">INDEX(Locations!$C$2:$C$9,MATCH($B218,Locations!$A$2:$A$9,0))</f>
        <v>Cook/Douglass</v>
      </c>
      <c r="E218" s="18" t="s">
        <v>333</v>
      </c>
      <c r="F218" s="21" t="str">
        <f aca="false">INDEX(Products!$B$2:$B$29,MATCH($E218,Products!$A$2:$A$29,0))</f>
        <v>Johnson &amp; Johnson First Aid To Go Kit</v>
      </c>
      <c r="G218" s="21" t="str">
        <f aca="false">INDEX(Products!$C$2:$C$29,MATCH($E218,Products!$A$2:$A$29,0))</f>
        <v>First aid &amp; comfort</v>
      </c>
      <c r="H218" s="18" t="s">
        <v>212</v>
      </c>
      <c r="I218" s="18" t="s">
        <v>487</v>
      </c>
      <c r="J218" s="18" t="str">
        <f aca="false">IF(H218="No","-",IF(I218="Available","Good supply",IF(I218="Low stock","Few left",IF(I218="Out of stock","None",IF(I218="Temporarily unavailable","Unavailable","Unknown")))))</f>
        <v>-</v>
      </c>
      <c r="K218" s="18"/>
      <c r="L218" s="22"/>
      <c r="M218" s="18" t="str">
        <f aca="false">IF(L218="","",ROUND((Config!$B$2-L218)*1440,0))</f>
        <v/>
      </c>
      <c r="N218" s="18" t="str">
        <f aca="false">IF(K218="Staff verified",Config!$B$4,IF(OR(K218="Authorized student verified",K218="Multiple student reports",K218="Single student report"),Config!$B$3,""))</f>
        <v/>
      </c>
      <c r="O218" s="18" t="str">
        <f aca="false">IF(H218="No","n/a",IF(L218="","Unverified Data",IF(M218&gt;N218,"Stale report",K218)))</f>
        <v>n/a</v>
      </c>
      <c r="P218" s="18" t="str">
        <f aca="false">IF(AND(H218="Yes",OR(I218="Available",I218="Low stock")),IF(O218="Stale report","Verify first","Yes"),"No")</f>
        <v>No</v>
      </c>
      <c r="Q218" s="18" t="str">
        <f aca="false">IF(H218="Yes","proposed_pending_approval","n/a")</f>
        <v>n/a</v>
      </c>
      <c r="R218" s="18" t="str">
        <f aca="false">IF(H218="Yes","Retail swipe (proposed) / RU Express / Cash or card","n/a")</f>
        <v>n/a</v>
      </c>
      <c r="S218" s="21" t="str">
        <f aca="false">INDEX(Products!$I$2:$I$29,MATCH($E218,Products!$A$2:$A$29,0))</f>
        <v>1 kit</v>
      </c>
      <c r="T218" s="18" t="str">
        <f aca="false">IF(H218="Yes",Config!$B$5,"")</f>
        <v/>
      </c>
      <c r="U218" s="21" t="str">
        <f aca="false">INDEX(Products!$J$2:$J$29,MATCH($E218,Products!$A$2:$A$29,0))</f>
        <v>No</v>
      </c>
      <c r="V218" s="18" t="s">
        <v>394</v>
      </c>
    </row>
    <row r="219" customFormat="false" ht="15" hidden="false" customHeight="true" outlineLevel="0" collapsed="false">
      <c r="A219" s="18" t="s">
        <v>618</v>
      </c>
      <c r="B219" s="18" t="s">
        <v>186</v>
      </c>
      <c r="C219" s="21" t="str">
        <f aca="false">INDEX(Locations!$B$2:$B$9,MATCH($B219,Locations!$A$2:$A$9,0))</f>
        <v>Douglass Cafe</v>
      </c>
      <c r="D219" s="21" t="str">
        <f aca="false">INDEX(Locations!$C$2:$C$9,MATCH($B219,Locations!$A$2:$A$9,0))</f>
        <v>Cook/Douglass</v>
      </c>
      <c r="E219" s="18" t="s">
        <v>338</v>
      </c>
      <c r="F219" s="21" t="str">
        <f aca="false">INDEX(Products!$B$2:$B$29,MATCH($E219,Products!$A$2:$A$29,0))</f>
        <v>Neosporin Original Ointment</v>
      </c>
      <c r="G219" s="21" t="str">
        <f aca="false">INDEX(Products!$C$2:$C$29,MATCH($E219,Products!$A$2:$A$29,0))</f>
        <v>First aid &amp; comfort</v>
      </c>
      <c r="H219" s="18" t="s">
        <v>212</v>
      </c>
      <c r="I219" s="18" t="s">
        <v>487</v>
      </c>
      <c r="J219" s="18" t="str">
        <f aca="false">IF(H219="No","-",IF(I219="Available","Good supply",IF(I219="Low stock","Few left",IF(I219="Out of stock","None",IF(I219="Temporarily unavailable","Unavailable","Unknown")))))</f>
        <v>-</v>
      </c>
      <c r="K219" s="18"/>
      <c r="L219" s="22"/>
      <c r="M219" s="18" t="str">
        <f aca="false">IF(L219="","",ROUND((Config!$B$2-L219)*1440,0))</f>
        <v/>
      </c>
      <c r="N219" s="18" t="str">
        <f aca="false">IF(K219="Staff verified",Config!$B$4,IF(OR(K219="Authorized student verified",K219="Multiple student reports",K219="Single student report"),Config!$B$3,""))</f>
        <v/>
      </c>
      <c r="O219" s="18" t="str">
        <f aca="false">IF(H219="No","n/a",IF(L219="","Unverified Data",IF(M219&gt;N219,"Stale report",K219)))</f>
        <v>n/a</v>
      </c>
      <c r="P219" s="18" t="str">
        <f aca="false">IF(AND(H219="Yes",OR(I219="Available",I219="Low stock")),IF(O219="Stale report","Verify first","Yes"),"No")</f>
        <v>No</v>
      </c>
      <c r="Q219" s="18" t="str">
        <f aca="false">IF(H219="Yes","proposed_pending_approval","n/a")</f>
        <v>n/a</v>
      </c>
      <c r="R219" s="18" t="str">
        <f aca="false">IF(H219="Yes","Retail swipe (proposed) / RU Express / Cash or card","n/a")</f>
        <v>n/a</v>
      </c>
      <c r="S219" s="21" t="str">
        <f aca="false">INDEX(Products!$I$2:$I$29,MATCH($E219,Products!$A$2:$A$29,0))</f>
        <v>1 tube</v>
      </c>
      <c r="T219" s="18" t="str">
        <f aca="false">IF(H219="Yes",Config!$B$5,"")</f>
        <v/>
      </c>
      <c r="U219" s="21" t="str">
        <f aca="false">INDEX(Products!$J$2:$J$29,MATCH($E219,Products!$A$2:$A$29,0))</f>
        <v>No</v>
      </c>
      <c r="V219" s="18" t="s">
        <v>394</v>
      </c>
    </row>
    <row r="220" customFormat="false" ht="15" hidden="false" customHeight="true" outlineLevel="0" collapsed="false">
      <c r="A220" s="18" t="s">
        <v>619</v>
      </c>
      <c r="B220" s="18" t="s">
        <v>186</v>
      </c>
      <c r="C220" s="21" t="str">
        <f aca="false">INDEX(Locations!$B$2:$B$9,MATCH($B220,Locations!$A$2:$A$9,0))</f>
        <v>Douglass Cafe</v>
      </c>
      <c r="D220" s="21" t="str">
        <f aca="false">INDEX(Locations!$C$2:$C$9,MATCH($B220,Locations!$A$2:$A$9,0))</f>
        <v>Cook/Douglass</v>
      </c>
      <c r="E220" s="18" t="s">
        <v>345</v>
      </c>
      <c r="F220" s="21" t="str">
        <f aca="false">INDEX(Products!$B$2:$B$29,MATCH($E220,Products!$A$2:$A$29,0))</f>
        <v>Instant cold pack (brand varies)</v>
      </c>
      <c r="G220" s="21" t="str">
        <f aca="false">INDEX(Products!$C$2:$C$29,MATCH($E220,Products!$A$2:$A$29,0))</f>
        <v>First aid &amp; comfort</v>
      </c>
      <c r="H220" s="18" t="s">
        <v>212</v>
      </c>
      <c r="I220" s="18" t="s">
        <v>487</v>
      </c>
      <c r="J220" s="18" t="str">
        <f aca="false">IF(H220="No","-",IF(I220="Available","Good supply",IF(I220="Low stock","Few left",IF(I220="Out of stock","None",IF(I220="Temporarily unavailable","Unavailable","Unknown")))))</f>
        <v>-</v>
      </c>
      <c r="K220" s="18"/>
      <c r="L220" s="22"/>
      <c r="M220" s="18" t="str">
        <f aca="false">IF(L220="","",ROUND((Config!$B$2-L220)*1440,0))</f>
        <v/>
      </c>
      <c r="N220" s="18" t="str">
        <f aca="false">IF(K220="Staff verified",Config!$B$4,IF(OR(K220="Authorized student verified",K220="Multiple student reports",K220="Single student report"),Config!$B$3,""))</f>
        <v/>
      </c>
      <c r="O220" s="18" t="str">
        <f aca="false">IF(H220="No","n/a",IF(L220="","Unverified Data",IF(M220&gt;N220,"Stale report",K220)))</f>
        <v>n/a</v>
      </c>
      <c r="P220" s="18" t="str">
        <f aca="false">IF(AND(H220="Yes",OR(I220="Available",I220="Low stock")),IF(O220="Stale report","Verify first","Yes"),"No")</f>
        <v>No</v>
      </c>
      <c r="Q220" s="18" t="str">
        <f aca="false">IF(H220="Yes","proposed_pending_approval","n/a")</f>
        <v>n/a</v>
      </c>
      <c r="R220" s="18" t="str">
        <f aca="false">IF(H220="Yes","Retail swipe (proposed) / RU Express / Cash or card","n/a")</f>
        <v>n/a</v>
      </c>
      <c r="S220" s="21" t="str">
        <f aca="false">INDEX(Products!$I$2:$I$29,MATCH($E220,Products!$A$2:$A$29,0))</f>
        <v>1 pack</v>
      </c>
      <c r="T220" s="18" t="str">
        <f aca="false">IF(H220="Yes",Config!$B$5,"")</f>
        <v/>
      </c>
      <c r="U220" s="21" t="str">
        <f aca="false">INDEX(Products!$J$2:$J$29,MATCH($E220,Products!$A$2:$A$29,0))</f>
        <v>No</v>
      </c>
      <c r="V220" s="18" t="s">
        <v>394</v>
      </c>
    </row>
    <row r="221" customFormat="false" ht="15" hidden="false" customHeight="true" outlineLevel="0" collapsed="false">
      <c r="A221" s="18" t="s">
        <v>620</v>
      </c>
      <c r="B221" s="18" t="s">
        <v>186</v>
      </c>
      <c r="C221" s="21" t="str">
        <f aca="false">INDEX(Locations!$B$2:$B$9,MATCH($B221,Locations!$A$2:$A$9,0))</f>
        <v>Douglass Cafe</v>
      </c>
      <c r="D221" s="21" t="str">
        <f aca="false">INDEX(Locations!$C$2:$C$9,MATCH($B221,Locations!$A$2:$A$9,0))</f>
        <v>Cook/Douglass</v>
      </c>
      <c r="E221" s="18" t="s">
        <v>351</v>
      </c>
      <c r="F221" s="21" t="str">
        <f aca="false">INDEX(Products!$B$2:$B$29,MATCH($E221,Products!$A$2:$A$29,0))</f>
        <v>ThermaCare Heat Wrap</v>
      </c>
      <c r="G221" s="21" t="str">
        <f aca="false">INDEX(Products!$C$2:$C$29,MATCH($E221,Products!$A$2:$A$29,0))</f>
        <v>First aid &amp; comfort</v>
      </c>
      <c r="H221" s="18" t="s">
        <v>212</v>
      </c>
      <c r="I221" s="18" t="s">
        <v>487</v>
      </c>
      <c r="J221" s="18" t="str">
        <f aca="false">IF(H221="No","-",IF(I221="Available","Good supply",IF(I221="Low stock","Few left",IF(I221="Out of stock","None",IF(I221="Temporarily unavailable","Unavailable","Unknown")))))</f>
        <v>-</v>
      </c>
      <c r="K221" s="18"/>
      <c r="L221" s="22"/>
      <c r="M221" s="18" t="str">
        <f aca="false">IF(L221="","",ROUND((Config!$B$2-L221)*1440,0))</f>
        <v/>
      </c>
      <c r="N221" s="18" t="str">
        <f aca="false">IF(K221="Staff verified",Config!$B$4,IF(OR(K221="Authorized student verified",K221="Multiple student reports",K221="Single student report"),Config!$B$3,""))</f>
        <v/>
      </c>
      <c r="O221" s="18" t="str">
        <f aca="false">IF(H221="No","n/a",IF(L221="","Unverified Data",IF(M221&gt;N221,"Stale report",K221)))</f>
        <v>n/a</v>
      </c>
      <c r="P221" s="18" t="str">
        <f aca="false">IF(AND(H221="Yes",OR(I221="Available",I221="Low stock")),IF(O221="Stale report","Verify first","Yes"),"No")</f>
        <v>No</v>
      </c>
      <c r="Q221" s="18" t="str">
        <f aca="false">IF(H221="Yes","proposed_pending_approval","n/a")</f>
        <v>n/a</v>
      </c>
      <c r="R221" s="18" t="str">
        <f aca="false">IF(H221="Yes","Retail swipe (proposed) / RU Express / Cash or card","n/a")</f>
        <v>n/a</v>
      </c>
      <c r="S221" s="21" t="str">
        <f aca="false">INDEX(Products!$I$2:$I$29,MATCH($E221,Products!$A$2:$A$29,0))</f>
        <v>1 package</v>
      </c>
      <c r="T221" s="18" t="str">
        <f aca="false">IF(H221="Yes",Config!$B$5,"")</f>
        <v/>
      </c>
      <c r="U221" s="21" t="str">
        <f aca="false">INDEX(Products!$J$2:$J$29,MATCH($E221,Products!$A$2:$A$29,0))</f>
        <v>No</v>
      </c>
      <c r="V221" s="18" t="s">
        <v>394</v>
      </c>
    </row>
    <row r="222" customFormat="false" ht="15" hidden="false" customHeight="true" outlineLevel="0" collapsed="false">
      <c r="A222" s="18" t="s">
        <v>621</v>
      </c>
      <c r="B222" s="18" t="s">
        <v>186</v>
      </c>
      <c r="C222" s="21" t="str">
        <f aca="false">INDEX(Locations!$B$2:$B$9,MATCH($B222,Locations!$A$2:$A$9,0))</f>
        <v>Douglass Cafe</v>
      </c>
      <c r="D222" s="21" t="str">
        <f aca="false">INDEX(Locations!$C$2:$C$9,MATCH($B222,Locations!$A$2:$A$9,0))</f>
        <v>Cook/Douglass</v>
      </c>
      <c r="E222" s="18" t="s">
        <v>356</v>
      </c>
      <c r="F222" s="21" t="str">
        <f aca="false">INDEX(Products!$B$2:$B$29,MATCH($E222,Products!$A$2:$A$29,0))</f>
        <v>Always Ultra Thin Pads</v>
      </c>
      <c r="G222" s="21" t="str">
        <f aca="false">INDEX(Products!$C$2:$C$29,MATCH($E222,Products!$A$2:$A$29,0))</f>
        <v>Menstrual &amp; hygiene</v>
      </c>
      <c r="H222" s="18" t="s">
        <v>123</v>
      </c>
      <c r="I222" s="18" t="s">
        <v>466</v>
      </c>
      <c r="J222" s="18" t="str">
        <f aca="false">IF(H222="No","-",IF(I222="Available","Good supply",IF(I222="Low stock","Few left",IF(I222="Out of stock","None",IF(I222="Temporarily unavailable","Unavailable","Unknown")))))</f>
        <v>Unavailable</v>
      </c>
      <c r="K222" s="18" t="s">
        <v>397</v>
      </c>
      <c r="L222" s="22" t="n">
        <v>46308.5965277778</v>
      </c>
      <c r="M222" s="18" t="n">
        <f aca="false">IF(L222="","",ROUND((Config!$B$2-L222)*1440,0))</f>
        <v>41</v>
      </c>
      <c r="N222" s="18" t="str">
        <f aca="false">IF(K222="Staff verified",Config!$B$4,IF(OR(K222="Authorized student verified",K222="Multiple student reports",K222="Single student report"),Config!$B$3,""))</f>
        <v/>
      </c>
      <c r="O222" s="18" t="str">
        <f aca="false">IF(H222="No","n/a",IF(L222="","Unverified Data",IF(M222&gt;N222,"Stale report",K222)))</f>
        <v>Verified student report</v>
      </c>
      <c r="P222" s="18" t="str">
        <f aca="false">IF(AND(H222="Yes",OR(I222="Available",I222="Low stock")),IF(O222="Stale report","Verify first","Yes"),"No")</f>
        <v>No</v>
      </c>
      <c r="Q222" s="18" t="str">
        <f aca="false">IF(H222="Yes","proposed_pending_approval","n/a")</f>
        <v>proposed_pending_approval</v>
      </c>
      <c r="R222" s="18" t="str">
        <f aca="false">IF(H222="Yes","Retail swipe (proposed) / RU Express / Cash or card","n/a")</f>
        <v>Retail swipe (proposed) / RU Express / Cash or card</v>
      </c>
      <c r="S222" s="21" t="str">
        <f aca="false">INDEX(Products!$I$2:$I$29,MATCH($E222,Products!$A$2:$A$29,0))</f>
        <v>1 package</v>
      </c>
      <c r="T222" s="18" t="n">
        <f aca="false">IF(H222="Yes",Config!$B$5,"")</f>
        <v>75</v>
      </c>
      <c r="U222" s="21" t="str">
        <f aca="false">INDEX(Products!$J$2:$J$29,MATCH($E222,Products!$A$2:$A$29,0))</f>
        <v>No</v>
      </c>
      <c r="V222" s="18" t="s">
        <v>394</v>
      </c>
    </row>
    <row r="223" customFormat="false" ht="15" hidden="false" customHeight="true" outlineLevel="0" collapsed="false">
      <c r="A223" s="18" t="s">
        <v>622</v>
      </c>
      <c r="B223" s="18" t="s">
        <v>186</v>
      </c>
      <c r="C223" s="21" t="str">
        <f aca="false">INDEX(Locations!$B$2:$B$9,MATCH($B223,Locations!$A$2:$A$9,0))</f>
        <v>Douglass Cafe</v>
      </c>
      <c r="D223" s="21" t="str">
        <f aca="false">INDEX(Locations!$C$2:$C$9,MATCH($B223,Locations!$A$2:$A$9,0))</f>
        <v>Cook/Douglass</v>
      </c>
      <c r="E223" s="18" t="s">
        <v>363</v>
      </c>
      <c r="F223" s="21" t="str">
        <f aca="false">INDEX(Products!$B$2:$B$29,MATCH($E223,Products!$A$2:$A$29,0))</f>
        <v>Tampax Pearl Tampons</v>
      </c>
      <c r="G223" s="21" t="str">
        <f aca="false">INDEX(Products!$C$2:$C$29,MATCH($E223,Products!$A$2:$A$29,0))</f>
        <v>Menstrual &amp; hygiene</v>
      </c>
      <c r="H223" s="18" t="s">
        <v>123</v>
      </c>
      <c r="I223" s="18" t="s">
        <v>392</v>
      </c>
      <c r="J223" s="18" t="str">
        <f aca="false">IF(H223="No","-",IF(I223="Available","Good supply",IF(I223="Low stock","Few left",IF(I223="Out of stock","None",IF(I223="Temporarily unavailable","Unavailable","Unknown")))))</f>
        <v>Good supply</v>
      </c>
      <c r="K223" s="18" t="s">
        <v>409</v>
      </c>
      <c r="L223" s="22"/>
      <c r="M223" s="18" t="str">
        <f aca="false">IF(L223="","",ROUND((Config!$B$2-L223)*1440,0))</f>
        <v/>
      </c>
      <c r="N223" s="18" t="str">
        <f aca="false">IF(K223="Staff verified",Config!$B$4,IF(OR(K223="Authorized student verified",K223="Multiple student reports",K223="Single student report"),Config!$B$3,""))</f>
        <v/>
      </c>
      <c r="O223" s="18" t="str">
        <f aca="false">IF(H223="No","n/a",IF(L223="","Unverified Data",IF(M223&gt;N223,"Stale report",K223)))</f>
        <v>Unverified Data</v>
      </c>
      <c r="P223" s="18" t="str">
        <f aca="false">IF(AND(H223="Yes",OR(I223="Available",I223="Low stock")),IF(O223="Stale report","Verify first","Yes"),"No")</f>
        <v>Yes</v>
      </c>
      <c r="Q223" s="18" t="str">
        <f aca="false">IF(H223="Yes","proposed_pending_approval","n/a")</f>
        <v>proposed_pending_approval</v>
      </c>
      <c r="R223" s="18" t="str">
        <f aca="false">IF(H223="Yes","Retail swipe (proposed) / RU Express / Cash or card","n/a")</f>
        <v>Retail swipe (proposed) / RU Express / Cash or card</v>
      </c>
      <c r="S223" s="21" t="str">
        <f aca="false">INDEX(Products!$I$2:$I$29,MATCH($E223,Products!$A$2:$A$29,0))</f>
        <v>1 package</v>
      </c>
      <c r="T223" s="18" t="n">
        <f aca="false">IF(H223="Yes",Config!$B$5,"")</f>
        <v>75</v>
      </c>
      <c r="U223" s="21" t="str">
        <f aca="false">INDEX(Products!$J$2:$J$29,MATCH($E223,Products!$A$2:$A$29,0))</f>
        <v>No</v>
      </c>
      <c r="V223" s="18" t="s">
        <v>394</v>
      </c>
    </row>
    <row r="224" customFormat="false" ht="15" hidden="false" customHeight="true" outlineLevel="0" collapsed="false">
      <c r="A224" s="18" t="s">
        <v>623</v>
      </c>
      <c r="B224" s="18" t="s">
        <v>186</v>
      </c>
      <c r="C224" s="21" t="str">
        <f aca="false">INDEX(Locations!$B$2:$B$9,MATCH($B224,Locations!$A$2:$A$9,0))</f>
        <v>Douglass Cafe</v>
      </c>
      <c r="D224" s="21" t="str">
        <f aca="false">INDEX(Locations!$C$2:$C$9,MATCH($B224,Locations!$A$2:$A$9,0))</f>
        <v>Cook/Douglass</v>
      </c>
      <c r="E224" s="18" t="s">
        <v>368</v>
      </c>
      <c r="F224" s="21" t="str">
        <f aca="false">INDEX(Products!$B$2:$B$29,MATCH($E224,Products!$A$2:$A$29,0))</f>
        <v>Purell Advanced Hand Sanitizer</v>
      </c>
      <c r="G224" s="21" t="str">
        <f aca="false">INDEX(Products!$C$2:$C$29,MATCH($E224,Products!$A$2:$A$29,0))</f>
        <v>Menstrual &amp; hygiene</v>
      </c>
      <c r="H224" s="18" t="s">
        <v>212</v>
      </c>
      <c r="I224" s="18" t="s">
        <v>487</v>
      </c>
      <c r="J224" s="18" t="str">
        <f aca="false">IF(H224="No","-",IF(I224="Available","Good supply",IF(I224="Low stock","Few left",IF(I224="Out of stock","None",IF(I224="Temporarily unavailable","Unavailable","Unknown")))))</f>
        <v>-</v>
      </c>
      <c r="K224" s="18"/>
      <c r="L224" s="22"/>
      <c r="M224" s="18" t="str">
        <f aca="false">IF(L224="","",ROUND((Config!$B$2-L224)*1440,0))</f>
        <v/>
      </c>
      <c r="N224" s="18" t="str">
        <f aca="false">IF(K224="Staff verified",Config!$B$4,IF(OR(K224="Authorized student verified",K224="Multiple student reports",K224="Single student report"),Config!$B$3,""))</f>
        <v/>
      </c>
      <c r="O224" s="18" t="str">
        <f aca="false">IF(H224="No","n/a",IF(L224="","Unverified Data",IF(M224&gt;N224,"Stale report",K224)))</f>
        <v>n/a</v>
      </c>
      <c r="P224" s="18" t="str">
        <f aca="false">IF(AND(H224="Yes",OR(I224="Available",I224="Low stock")),IF(O224="Stale report","Verify first","Yes"),"No")</f>
        <v>No</v>
      </c>
      <c r="Q224" s="18" t="str">
        <f aca="false">IF(H224="Yes","proposed_pending_approval","n/a")</f>
        <v>n/a</v>
      </c>
      <c r="R224" s="18" t="str">
        <f aca="false">IF(H224="Yes","Retail swipe (proposed) / RU Express / Cash or card","n/a")</f>
        <v>n/a</v>
      </c>
      <c r="S224" s="21" t="str">
        <f aca="false">INDEX(Products!$I$2:$I$29,MATCH($E224,Products!$A$2:$A$29,0))</f>
        <v>1 bottle</v>
      </c>
      <c r="T224" s="18" t="str">
        <f aca="false">IF(H224="Yes",Config!$B$5,"")</f>
        <v/>
      </c>
      <c r="U224" s="21" t="str">
        <f aca="false">INDEX(Products!$J$2:$J$29,MATCH($E224,Products!$A$2:$A$29,0))</f>
        <v>No</v>
      </c>
      <c r="V224" s="18" t="s">
        <v>394</v>
      </c>
    </row>
    <row r="225" customFormat="false" ht="15" hidden="false" customHeight="true" outlineLevel="0" collapsed="false">
      <c r="A225" s="18" t="s">
        <v>624</v>
      </c>
      <c r="B225" s="18" t="s">
        <v>186</v>
      </c>
      <c r="C225" s="21" t="str">
        <f aca="false">INDEX(Locations!$B$2:$B$9,MATCH($B225,Locations!$A$2:$A$9,0))</f>
        <v>Douglass Cafe</v>
      </c>
      <c r="D225" s="21" t="str">
        <f aca="false">INDEX(Locations!$C$2:$C$9,MATCH($B225,Locations!$A$2:$A$9,0))</f>
        <v>Cook/Douglass</v>
      </c>
      <c r="E225" s="18" t="s">
        <v>374</v>
      </c>
      <c r="F225" s="21" t="str">
        <f aca="false">INDEX(Products!$B$2:$B$29,MATCH($E225,Products!$A$2:$A$29,0))</f>
        <v>Disposable face masks (brand varies)</v>
      </c>
      <c r="G225" s="21" t="str">
        <f aca="false">INDEX(Products!$C$2:$C$29,MATCH($E225,Products!$A$2:$A$29,0))</f>
        <v>Menstrual &amp; hygiene</v>
      </c>
      <c r="H225" s="18" t="s">
        <v>212</v>
      </c>
      <c r="I225" s="18" t="s">
        <v>487</v>
      </c>
      <c r="J225" s="18" t="str">
        <f aca="false">IF(H225="No","-",IF(I225="Available","Good supply",IF(I225="Low stock","Few left",IF(I225="Out of stock","None",IF(I225="Temporarily unavailable","Unavailable","Unknown")))))</f>
        <v>-</v>
      </c>
      <c r="K225" s="18"/>
      <c r="L225" s="22"/>
      <c r="M225" s="18" t="str">
        <f aca="false">IF(L225="","",ROUND((Config!$B$2-L225)*1440,0))</f>
        <v/>
      </c>
      <c r="N225" s="18" t="str">
        <f aca="false">IF(K225="Staff verified",Config!$B$4,IF(OR(K225="Authorized student verified",K225="Multiple student reports",K225="Single student report"),Config!$B$3,""))</f>
        <v/>
      </c>
      <c r="O225" s="18" t="str">
        <f aca="false">IF(H225="No","n/a",IF(L225="","Unverified Data",IF(M225&gt;N225,"Stale report",K225)))</f>
        <v>n/a</v>
      </c>
      <c r="P225" s="18" t="str">
        <f aca="false">IF(AND(H225="Yes",OR(I225="Available",I225="Low stock")),IF(O225="Stale report","Verify first","Yes"),"No")</f>
        <v>No</v>
      </c>
      <c r="Q225" s="18" t="str">
        <f aca="false">IF(H225="Yes","proposed_pending_approval","n/a")</f>
        <v>n/a</v>
      </c>
      <c r="R225" s="18" t="str">
        <f aca="false">IF(H225="Yes","Retail swipe (proposed) / RU Express / Cash or card","n/a")</f>
        <v>n/a</v>
      </c>
      <c r="S225" s="21" t="str">
        <f aca="false">INDEX(Products!$I$2:$I$29,MATCH($E225,Products!$A$2:$A$29,0))</f>
        <v>1 pack</v>
      </c>
      <c r="T225" s="18" t="str">
        <f aca="false">IF(H225="Yes",Config!$B$5,"")</f>
        <v/>
      </c>
      <c r="U225" s="21" t="str">
        <f aca="false">INDEX(Products!$J$2:$J$29,MATCH($E225,Products!$A$2:$A$29,0))</f>
        <v>No</v>
      </c>
      <c r="V225" s="18" t="s">
        <v>394</v>
      </c>
    </row>
  </sheetData>
  <autoFilter ref="A1:V225"/>
  <conditionalFormatting sqref="I2:I225">
    <cfRule type="expression" priority="2" aboveAverage="0" equalAverage="0" bottom="0" percent="0" rank="0" text="" dxfId="12">
      <formula>$I2="Available"</formula>
    </cfRule>
    <cfRule type="expression" priority="3" aboveAverage="0" equalAverage="0" bottom="0" percent="0" rank="0" text="" dxfId="13">
      <formula>$I2="Low stock"</formula>
    </cfRule>
    <cfRule type="expression" priority="4" aboveAverage="0" equalAverage="0" bottom="0" percent="0" rank="0" text="" dxfId="14">
      <formula>$I2="Out of stock"</formula>
    </cfRule>
    <cfRule type="expression" priority="5" aboveAverage="0" equalAverage="0" bottom="0" percent="0" rank="0" text="" dxfId="15">
      <formula>$I2="Unknown"</formula>
    </cfRule>
    <cfRule type="expression" priority="6" aboveAverage="0" equalAverage="0" bottom="0" percent="0" rank="0" text="" dxfId="16">
      <formula>$I2="Temporarily unavailable"</formula>
    </cfRule>
    <cfRule type="expression" priority="7" aboveAverage="0" equalAverage="0" bottom="0" percent="0" rank="0" text="" dxfId="17">
      <formula>$I2="Not stocked in proposal"</formula>
    </cfRule>
  </conditionalFormatting>
  <conditionalFormatting sqref="O2:O225">
    <cfRule type="expression" priority="8" aboveAverage="0" equalAverage="0" bottom="0" percent="0" rank="0" text="" dxfId="14">
      <formula>$O2="Stale report"</formula>
    </cfRule>
  </conditionalFormatting>
  <conditionalFormatting sqref="P2:P225">
    <cfRule type="expression" priority="9" aboveAverage="0" equalAverage="0" bottom="0" percent="0" rank="0" text="" dxfId="13">
      <formula>$P2="Verify first"</formula>
    </cfRule>
  </conditionalFormatting>
  <dataValidations count="3">
    <dataValidation allowBlank="false" errorStyle="stop" operator="between" showDropDown="false" showErrorMessage="false" showInputMessage="false" sqref="I2:I225" type="list">
      <formula1>"Available,Low stock,Out of stock,Unknown,Temporarily unavailable,Not stocked in proposal"</formula1>
      <formula2>0</formula2>
    </dataValidation>
    <dataValidation allowBlank="true" errorStyle="stop" operator="between" showDropDown="false" showErrorMessage="false" showInputMessage="false" sqref="K2:K225" type="list">
      <formula1>"Staff verified,Authorized student verified,Multiple student reports,Single student report,Unverified prototype data"</formula1>
      <formula2>0</formula2>
    </dataValidation>
    <dataValidation allowBlank="false" errorStyle="stop" operator="between" showDropDown="false" showErrorMessage="false" showInputMessage="false" sqref="H2:H22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4" min="3" style="1" width="11"/>
    <col collapsed="false" customWidth="true" hidden="false" outlineLevel="0" max="5" min="5" style="1" width="20"/>
    <col collapsed="false" customWidth="true" hidden="false" outlineLevel="0" max="6" min="6" style="1" width="14"/>
    <col collapsed="false" customWidth="true" hidden="false" outlineLevel="0" max="7" min="7" style="1" width="18"/>
    <col collapsed="false" customWidth="true" hidden="false" outlineLevel="0" max="8" min="8" style="1" width="17"/>
    <col collapsed="false" customWidth="true" hidden="false" outlineLevel="0" max="9" min="9" style="1" width="14"/>
    <col collapsed="false" customWidth="true" hidden="false" outlineLevel="0" max="10" min="10" style="1" width="13"/>
    <col collapsed="false" customWidth="true" hidden="false" outlineLevel="0" max="11" min="11" style="1" width="14"/>
    <col collapsed="false" customWidth="true" hidden="false" outlineLevel="0" max="13" min="12" style="1" width="12"/>
    <col collapsed="false" customWidth="true" hidden="false" outlineLevel="0" max="14" min="14" style="1" width="34"/>
    <col collapsed="false" customWidth="true" hidden="false" outlineLevel="0" max="15" min="15" style="1" width="12"/>
    <col collapsed="false" customWidth="true" hidden="false" outlineLevel="0" max="16" min="16" style="1" width="17"/>
    <col collapsed="false" customWidth="true" hidden="false" outlineLevel="0" max="17" min="17" style="1" width="14"/>
  </cols>
  <sheetData>
    <row r="1" customFormat="false" ht="31.5" hidden="false" customHeight="true" outlineLevel="0" collapsed="false">
      <c r="A1" s="14" t="s">
        <v>625</v>
      </c>
      <c r="B1" s="14" t="s">
        <v>378</v>
      </c>
      <c r="C1" s="14" t="s">
        <v>91</v>
      </c>
      <c r="D1" s="14" t="s">
        <v>193</v>
      </c>
      <c r="E1" s="14" t="s">
        <v>626</v>
      </c>
      <c r="F1" s="14" t="s">
        <v>627</v>
      </c>
      <c r="G1" s="14" t="s">
        <v>628</v>
      </c>
      <c r="H1" s="14" t="s">
        <v>629</v>
      </c>
      <c r="I1" s="14" t="s">
        <v>630</v>
      </c>
      <c r="J1" s="14" t="s">
        <v>62</v>
      </c>
      <c r="K1" s="14" t="s">
        <v>631</v>
      </c>
      <c r="L1" s="14" t="s">
        <v>632</v>
      </c>
      <c r="M1" s="14" t="s">
        <v>633</v>
      </c>
      <c r="N1" s="14" t="s">
        <v>634</v>
      </c>
      <c r="O1" s="14" t="s">
        <v>385</v>
      </c>
      <c r="P1" s="14" t="s">
        <v>635</v>
      </c>
      <c r="Q1" s="14" t="s">
        <v>636</v>
      </c>
      <c r="T1" s="13" t="s">
        <v>637</v>
      </c>
    </row>
    <row r="2" customFormat="false" ht="15" hidden="false" customHeight="true" outlineLevel="0" collapsed="false">
      <c r="A2" s="18" t="s">
        <v>638</v>
      </c>
      <c r="B2" s="18" t="s">
        <v>520</v>
      </c>
      <c r="C2" s="21" t="str">
        <f aca="false">INDEX(Inventory!$B$2:$B$225,MATCH($B2,Inventory!$A$2:$A$225,0))</f>
        <v>L05</v>
      </c>
      <c r="D2" s="21" t="str">
        <f aca="false">INDEX(Inventory!$E$2:$E$225,MATCH($B2,Inventory!$A$2:$A$225,0))</f>
        <v>P08</v>
      </c>
      <c r="E2" s="18" t="s">
        <v>639</v>
      </c>
      <c r="F2" s="18" t="s">
        <v>640</v>
      </c>
      <c r="G2" s="18" t="s">
        <v>392</v>
      </c>
      <c r="H2" s="22" t="n">
        <v>46308.5208333333</v>
      </c>
      <c r="I2" s="18"/>
      <c r="J2" s="21" t="n">
        <f aca="false">Config!$B$6</f>
        <v>150</v>
      </c>
      <c r="K2" s="18" t="str">
        <f aca="false">IF(E2="Rutgers staff","n/a (staff)",IF(I2&lt;=J2,"Pass","Fail"))</f>
        <v>n/a (staff)</v>
      </c>
      <c r="L2" s="18" t="s">
        <v>641</v>
      </c>
      <c r="M2" s="18" t="s">
        <v>641</v>
      </c>
      <c r="N2" s="18" t="str">
        <f aca="false">IF(E2="Rutgers staff","Accepted (staff)",IF(K2="Fail","Rejected (outside geofence)",IF(E2="Authorized student",IF(AND(L2="Yes",M2="Approved"),"Accepted (photo + location verified)","Pending photo review"),"Counted (basic student report)")))</f>
        <v>Accepted (staff)</v>
      </c>
      <c r="O2" s="18" t="n">
        <f aca="false">IF(E2="Rutgers staff",Config!$B$4,Config!$B$3)</f>
        <v>240</v>
      </c>
      <c r="P2" s="23" t="n">
        <f aca="false">H2+O2/1440</f>
        <v>46308.6875</v>
      </c>
      <c r="Q2" s="18" t="str">
        <f aca="false">IF(Config!$B$2&lt;=P2,"Valid","Expired")</f>
        <v>Valid</v>
      </c>
    </row>
    <row r="3" customFormat="false" ht="15" hidden="false" customHeight="true" outlineLevel="0" collapsed="false">
      <c r="A3" s="18" t="s">
        <v>642</v>
      </c>
      <c r="B3" s="18" t="s">
        <v>469</v>
      </c>
      <c r="C3" s="21" t="str">
        <f aca="false">INDEX(Inventory!$B$2:$B$225,MATCH($B3,Inventory!$A$2:$A$225,0))</f>
        <v>L03</v>
      </c>
      <c r="D3" s="21" t="str">
        <f aca="false">INDEX(Inventory!$E$2:$E$225,MATCH($B3,Inventory!$A$2:$A$225,0))</f>
        <v>P14</v>
      </c>
      <c r="E3" s="18" t="s">
        <v>639</v>
      </c>
      <c r="F3" s="18" t="s">
        <v>643</v>
      </c>
      <c r="G3" s="18" t="s">
        <v>392</v>
      </c>
      <c r="H3" s="22" t="n">
        <v>46308.5416666667</v>
      </c>
      <c r="I3" s="18"/>
      <c r="J3" s="21" t="n">
        <f aca="false">Config!$B$6</f>
        <v>150</v>
      </c>
      <c r="K3" s="18" t="str">
        <f aca="false">IF(E3="Rutgers staff","n/a (staff)",IF(I3&lt;=J3,"Pass","Fail"))</f>
        <v>n/a (staff)</v>
      </c>
      <c r="L3" s="18" t="s">
        <v>641</v>
      </c>
      <c r="M3" s="18" t="s">
        <v>641</v>
      </c>
      <c r="N3" s="18" t="str">
        <f aca="false">IF(E3="Rutgers staff","Accepted (staff)",IF(K3="Fail","Rejected (outside geofence)",IF(E3="Authorized student",IF(AND(L3="Yes",M3="Approved"),"Accepted (photo + location verified)","Pending photo review"),"Counted (basic student report)")))</f>
        <v>Accepted (staff)</v>
      </c>
      <c r="O3" s="18" t="n">
        <f aca="false">IF(E3="Rutgers staff",Config!$B$4,Config!$B$3)</f>
        <v>240</v>
      </c>
      <c r="P3" s="23" t="n">
        <f aca="false">H3+O3/1440</f>
        <v>46308.7083333333</v>
      </c>
      <c r="Q3" s="18" t="str">
        <f aca="false">IF(Config!$B$2&lt;=P3,"Valid","Expired")</f>
        <v>Valid</v>
      </c>
    </row>
    <row r="4" customFormat="false" ht="15" hidden="false" customHeight="true" outlineLevel="0" collapsed="false">
      <c r="A4" s="18" t="s">
        <v>644</v>
      </c>
      <c r="B4" s="18" t="s">
        <v>548</v>
      </c>
      <c r="C4" s="21" t="str">
        <f aca="false">INDEX(Inventory!$B$2:$B$225,MATCH($B4,Inventory!$A$2:$A$225,0))</f>
        <v>L06</v>
      </c>
      <c r="D4" s="21" t="str">
        <f aca="false">INDEX(Inventory!$E$2:$E$225,MATCH($B4,Inventory!$A$2:$A$225,0))</f>
        <v>P08</v>
      </c>
      <c r="E4" s="18" t="s">
        <v>645</v>
      </c>
      <c r="F4" s="18" t="s">
        <v>646</v>
      </c>
      <c r="G4" s="18" t="s">
        <v>392</v>
      </c>
      <c r="H4" s="22" t="n">
        <v>46308.5590277778</v>
      </c>
      <c r="I4" s="18" t="n">
        <v>29</v>
      </c>
      <c r="J4" s="21" t="n">
        <f aca="false">Config!$B$6</f>
        <v>150</v>
      </c>
      <c r="K4" s="18" t="str">
        <f aca="false">IF(E4="Rutgers staff","n/a (staff)",IF(I4&lt;=J4,"Pass","Fail"))</f>
        <v>Pass</v>
      </c>
      <c r="L4" s="18" t="s">
        <v>212</v>
      </c>
      <c r="M4" s="18" t="s">
        <v>641</v>
      </c>
      <c r="N4" s="18" t="str">
        <f aca="false">IF(E4="Rutgers staff","Accepted (staff)",IF(K4="Fail","Rejected (outside geofence)",IF(E4="Authorized student",IF(AND(L4="Yes",M4="Approved"),"Accepted (photo + location verified)","Pending photo review"),"Counted (basic student report)")))</f>
        <v>Counted (basic student report)</v>
      </c>
      <c r="O4" s="18" t="n">
        <f aca="false">IF(E4="Rutgers staff",Config!$B$4,Config!$B$3)</f>
        <v>60</v>
      </c>
      <c r="P4" s="23" t="n">
        <f aca="false">H4+O4/1440</f>
        <v>46308.6006944444</v>
      </c>
      <c r="Q4" s="18" t="str">
        <f aca="false">IF(Config!$B$2&lt;=P4,"Valid","Expired")</f>
        <v>Expired</v>
      </c>
    </row>
    <row r="5" customFormat="false" ht="15" hidden="false" customHeight="true" outlineLevel="0" collapsed="false">
      <c r="A5" s="18" t="s">
        <v>647</v>
      </c>
      <c r="B5" s="18" t="s">
        <v>480</v>
      </c>
      <c r="C5" s="21" t="str">
        <f aca="false">INDEX(Inventory!$B$2:$B$225,MATCH($B5,Inventory!$A$2:$A$225,0))</f>
        <v>L03</v>
      </c>
      <c r="D5" s="21" t="str">
        <f aca="false">INDEX(Inventory!$E$2:$E$225,MATCH($B5,Inventory!$A$2:$A$225,0))</f>
        <v>P25</v>
      </c>
      <c r="E5" s="18" t="s">
        <v>639</v>
      </c>
      <c r="F5" s="18" t="s">
        <v>648</v>
      </c>
      <c r="G5" s="18" t="s">
        <v>404</v>
      </c>
      <c r="H5" s="22" t="n">
        <v>46308.5833333333</v>
      </c>
      <c r="I5" s="18"/>
      <c r="J5" s="21" t="n">
        <f aca="false">Config!$B$6</f>
        <v>150</v>
      </c>
      <c r="K5" s="18" t="str">
        <f aca="false">IF(E5="Rutgers staff","n/a (staff)",IF(I5&lt;=J5,"Pass","Fail"))</f>
        <v>n/a (staff)</v>
      </c>
      <c r="L5" s="18" t="s">
        <v>641</v>
      </c>
      <c r="M5" s="18" t="s">
        <v>641</v>
      </c>
      <c r="N5" s="18" t="str">
        <f aca="false">IF(E5="Rutgers staff","Accepted (staff)",IF(K5="Fail","Rejected (outside geofence)",IF(E5="Authorized student",IF(AND(L5="Yes",M5="Approved"),"Accepted (photo + location verified)","Pending photo review"),"Counted (basic student report)")))</f>
        <v>Accepted (staff)</v>
      </c>
      <c r="O5" s="18" t="n">
        <f aca="false">IF(E5="Rutgers staff",Config!$B$4,Config!$B$3)</f>
        <v>240</v>
      </c>
      <c r="P5" s="23" t="n">
        <f aca="false">H5+O5/1440</f>
        <v>46308.75</v>
      </c>
      <c r="Q5" s="18" t="str">
        <f aca="false">IF(Config!$B$2&lt;=P5,"Valid","Expired")</f>
        <v>Valid</v>
      </c>
    </row>
    <row r="6" customFormat="false" ht="15" hidden="false" customHeight="true" outlineLevel="0" collapsed="false">
      <c r="A6" s="18" t="s">
        <v>649</v>
      </c>
      <c r="B6" s="18" t="s">
        <v>542</v>
      </c>
      <c r="C6" s="21" t="str">
        <f aca="false">INDEX(Inventory!$B$2:$B$225,MATCH($B6,Inventory!$A$2:$A$225,0))</f>
        <v>L06</v>
      </c>
      <c r="D6" s="21" t="str">
        <f aca="false">INDEX(Inventory!$E$2:$E$225,MATCH($B6,Inventory!$A$2:$A$225,0))</f>
        <v>P02</v>
      </c>
      <c r="E6" s="18" t="s">
        <v>645</v>
      </c>
      <c r="F6" s="18" t="s">
        <v>650</v>
      </c>
      <c r="G6" s="18" t="s">
        <v>396</v>
      </c>
      <c r="H6" s="22" t="n">
        <v>46308.5902777778</v>
      </c>
      <c r="I6" s="18" t="n">
        <v>49</v>
      </c>
      <c r="J6" s="21" t="n">
        <f aca="false">Config!$B$6</f>
        <v>150</v>
      </c>
      <c r="K6" s="18" t="str">
        <f aca="false">IF(E6="Rutgers staff","n/a (staff)",IF(I6&lt;=J6,"Pass","Fail"))</f>
        <v>Pass</v>
      </c>
      <c r="L6" s="18" t="s">
        <v>212</v>
      </c>
      <c r="M6" s="18" t="s">
        <v>641</v>
      </c>
      <c r="N6" s="18" t="str">
        <f aca="false">IF(E6="Rutgers staff","Accepted (staff)",IF(K6="Fail","Rejected (outside geofence)",IF(E6="Authorized student",IF(AND(L6="Yes",M6="Approved"),"Accepted (photo + location verified)","Pending photo review"),"Counted (basic student report)")))</f>
        <v>Counted (basic student report)</v>
      </c>
      <c r="O6" s="18" t="n">
        <f aca="false">IF(E6="Rutgers staff",Config!$B$4,Config!$B$3)</f>
        <v>60</v>
      </c>
      <c r="P6" s="23" t="n">
        <f aca="false">H6+O6/1440</f>
        <v>46308.6319444444</v>
      </c>
      <c r="Q6" s="18" t="str">
        <f aca="false">IF(Config!$B$2&lt;=P6,"Valid","Expired")</f>
        <v>Valid</v>
      </c>
    </row>
    <row r="7" customFormat="false" ht="15" hidden="false" customHeight="true" outlineLevel="0" collapsed="false">
      <c r="A7" s="18" t="s">
        <v>651</v>
      </c>
      <c r="B7" s="18" t="s">
        <v>391</v>
      </c>
      <c r="C7" s="21" t="str">
        <f aca="false">INDEX(Inventory!$B$2:$B$225,MATCH($B7,Inventory!$A$2:$A$225,0))</f>
        <v>L01</v>
      </c>
      <c r="D7" s="21" t="str">
        <f aca="false">INDEX(Inventory!$E$2:$E$225,MATCH($B7,Inventory!$A$2:$A$225,0))</f>
        <v>P01</v>
      </c>
      <c r="E7" s="18" t="s">
        <v>639</v>
      </c>
      <c r="F7" s="18" t="s">
        <v>652</v>
      </c>
      <c r="G7" s="18" t="s">
        <v>392</v>
      </c>
      <c r="H7" s="22" t="n">
        <v>46308.59375</v>
      </c>
      <c r="I7" s="18"/>
      <c r="J7" s="21" t="n">
        <f aca="false">Config!$B$6</f>
        <v>150</v>
      </c>
      <c r="K7" s="18" t="str">
        <f aca="false">IF(E7="Rutgers staff","n/a (staff)",IF(I7&lt;=J7,"Pass","Fail"))</f>
        <v>n/a (staff)</v>
      </c>
      <c r="L7" s="18" t="s">
        <v>641</v>
      </c>
      <c r="M7" s="18" t="s">
        <v>641</v>
      </c>
      <c r="N7" s="18" t="str">
        <f aca="false">IF(E7="Rutgers staff","Accepted (staff)",IF(K7="Fail","Rejected (outside geofence)",IF(E7="Authorized student",IF(AND(L7="Yes",M7="Approved"),"Accepted (photo + location verified)","Pending photo review"),"Counted (basic student report)")))</f>
        <v>Accepted (staff)</v>
      </c>
      <c r="O7" s="18" t="n">
        <f aca="false">IF(E7="Rutgers staff",Config!$B$4,Config!$B$3)</f>
        <v>240</v>
      </c>
      <c r="P7" s="23" t="n">
        <f aca="false">H7+O7/1440</f>
        <v>46308.7604166667</v>
      </c>
      <c r="Q7" s="18" t="str">
        <f aca="false">IF(Config!$B$2&lt;=P7,"Valid","Expired")</f>
        <v>Valid</v>
      </c>
    </row>
    <row r="8" customFormat="false" ht="15" hidden="false" customHeight="true" outlineLevel="0" collapsed="false">
      <c r="A8" s="18" t="s">
        <v>653</v>
      </c>
      <c r="B8" s="18" t="s">
        <v>424</v>
      </c>
      <c r="C8" s="21" t="str">
        <f aca="false">INDEX(Inventory!$B$2:$B$225,MATCH($B8,Inventory!$A$2:$A$225,0))</f>
        <v>L01</v>
      </c>
      <c r="D8" s="21" t="str">
        <f aca="false">INDEX(Inventory!$E$2:$E$225,MATCH($B8,Inventory!$A$2:$A$225,0))</f>
        <v>P26</v>
      </c>
      <c r="E8" s="18" t="s">
        <v>654</v>
      </c>
      <c r="F8" s="18" t="s">
        <v>655</v>
      </c>
      <c r="G8" s="18" t="s">
        <v>392</v>
      </c>
      <c r="H8" s="22" t="n">
        <v>46308.5972222222</v>
      </c>
      <c r="I8" s="18" t="n">
        <v>63</v>
      </c>
      <c r="J8" s="21" t="n">
        <f aca="false">Config!$B$6</f>
        <v>150</v>
      </c>
      <c r="K8" s="18" t="str">
        <f aca="false">IF(E8="Rutgers staff","n/a (staff)",IF(I8&lt;=J8,"Pass","Fail"))</f>
        <v>Pass</v>
      </c>
      <c r="L8" s="18" t="s">
        <v>123</v>
      </c>
      <c r="M8" s="18" t="s">
        <v>656</v>
      </c>
      <c r="N8" s="18" t="str">
        <f aca="false">IF(E8="Rutgers staff","Accepted (staff)",IF(K8="Fail","Rejected (outside geofence)",IF(E8="Authorized student",IF(AND(L8="Yes",M8="Approved"),"Accepted (photo + location verified)","Pending photo review"),"Counted (basic student report)")))</f>
        <v>Accepted (photo + location verified)</v>
      </c>
      <c r="O8" s="18" t="n">
        <f aca="false">IF(E8="Rutgers staff",Config!$B$4,Config!$B$3)</f>
        <v>60</v>
      </c>
      <c r="P8" s="23" t="n">
        <f aca="false">H8+O8/1440</f>
        <v>46308.6388888889</v>
      </c>
      <c r="Q8" s="18" t="str">
        <f aca="false">IF(Config!$B$2&lt;=P8,"Valid","Expired")</f>
        <v>Valid</v>
      </c>
    </row>
    <row r="9" customFormat="false" ht="15" hidden="false" customHeight="true" outlineLevel="0" collapsed="false">
      <c r="A9" s="18" t="s">
        <v>657</v>
      </c>
      <c r="B9" s="18" t="s">
        <v>395</v>
      </c>
      <c r="C9" s="21" t="str">
        <f aca="false">INDEX(Inventory!$B$2:$B$225,MATCH($B9,Inventory!$A$2:$A$225,0))</f>
        <v>L01</v>
      </c>
      <c r="D9" s="21" t="str">
        <f aca="false">INDEX(Inventory!$E$2:$E$225,MATCH($B9,Inventory!$A$2:$A$225,0))</f>
        <v>P02</v>
      </c>
      <c r="E9" s="18" t="s">
        <v>645</v>
      </c>
      <c r="F9" s="18" t="s">
        <v>658</v>
      </c>
      <c r="G9" s="18" t="s">
        <v>392</v>
      </c>
      <c r="H9" s="22" t="n">
        <v>46308.5972222222</v>
      </c>
      <c r="I9" s="18" t="n">
        <v>77</v>
      </c>
      <c r="J9" s="21" t="n">
        <f aca="false">Config!$B$6</f>
        <v>150</v>
      </c>
      <c r="K9" s="18" t="str">
        <f aca="false">IF(E9="Rutgers staff","n/a (staff)",IF(I9&lt;=J9,"Pass","Fail"))</f>
        <v>Pass</v>
      </c>
      <c r="L9" s="18" t="s">
        <v>212</v>
      </c>
      <c r="M9" s="18" t="s">
        <v>641</v>
      </c>
      <c r="N9" s="18" t="str">
        <f aca="false">IF(E9="Rutgers staff","Accepted (staff)",IF(K9="Fail","Rejected (outside geofence)",IF(E9="Authorized student",IF(AND(L9="Yes",M9="Approved"),"Accepted (photo + location verified)","Pending photo review"),"Counted (basic student report)")))</f>
        <v>Counted (basic student report)</v>
      </c>
      <c r="O9" s="18" t="n">
        <f aca="false">IF(E9="Rutgers staff",Config!$B$4,Config!$B$3)</f>
        <v>60</v>
      </c>
      <c r="P9" s="23" t="n">
        <f aca="false">H9+O9/1440</f>
        <v>46308.6388888889</v>
      </c>
      <c r="Q9" s="18" t="str">
        <f aca="false">IF(Config!$B$2&lt;=P9,"Valid","Expired")</f>
        <v>Valid</v>
      </c>
    </row>
    <row r="10" customFormat="false" ht="15" hidden="false" customHeight="true" outlineLevel="0" collapsed="false">
      <c r="A10" s="18" t="s">
        <v>659</v>
      </c>
      <c r="B10" s="18" t="s">
        <v>472</v>
      </c>
      <c r="C10" s="21" t="str">
        <f aca="false">INDEX(Inventory!$B$2:$B$225,MATCH($B10,Inventory!$A$2:$A$225,0))</f>
        <v>L03</v>
      </c>
      <c r="D10" s="21" t="str">
        <f aca="false">INDEX(Inventory!$E$2:$E$225,MATCH($B10,Inventory!$A$2:$A$225,0))</f>
        <v>P17</v>
      </c>
      <c r="E10" s="18" t="s">
        <v>639</v>
      </c>
      <c r="F10" s="18" t="s">
        <v>660</v>
      </c>
      <c r="G10" s="18" t="s">
        <v>392</v>
      </c>
      <c r="H10" s="22" t="n">
        <v>46308.6006944445</v>
      </c>
      <c r="I10" s="18"/>
      <c r="J10" s="21" t="n">
        <f aca="false">Config!$B$6</f>
        <v>150</v>
      </c>
      <c r="K10" s="18" t="str">
        <f aca="false">IF(E10="Rutgers staff","n/a (staff)",IF(I10&lt;=J10,"Pass","Fail"))</f>
        <v>n/a (staff)</v>
      </c>
      <c r="L10" s="18" t="s">
        <v>641</v>
      </c>
      <c r="M10" s="18" t="s">
        <v>641</v>
      </c>
      <c r="N10" s="18" t="str">
        <f aca="false">IF(E10="Rutgers staff","Accepted (staff)",IF(K10="Fail","Rejected (outside geofence)",IF(E10="Authorized student",IF(AND(L10="Yes",M10="Approved"),"Accepted (photo + location verified)","Pending photo review"),"Counted (basic student report)")))</f>
        <v>Accepted (staff)</v>
      </c>
      <c r="O10" s="18" t="n">
        <f aca="false">IF(E10="Rutgers staff",Config!$B$4,Config!$B$3)</f>
        <v>240</v>
      </c>
      <c r="P10" s="23" t="n">
        <f aca="false">H10+O10/1440</f>
        <v>46308.7673611111</v>
      </c>
      <c r="Q10" s="18" t="str">
        <f aca="false">IF(Config!$B$2&lt;=P10,"Valid","Expired")</f>
        <v>Valid</v>
      </c>
    </row>
    <row r="11" customFormat="false" ht="15" hidden="false" customHeight="true" outlineLevel="0" collapsed="false">
      <c r="A11" s="18" t="s">
        <v>661</v>
      </c>
      <c r="B11" s="18" t="s">
        <v>513</v>
      </c>
      <c r="C11" s="21" t="str">
        <f aca="false">INDEX(Inventory!$B$2:$B$225,MATCH($B11,Inventory!$A$2:$A$225,0))</f>
        <v>L05</v>
      </c>
      <c r="D11" s="21" t="str">
        <f aca="false">INDEX(Inventory!$E$2:$E$225,MATCH($B11,Inventory!$A$2:$A$225,0))</f>
        <v>P01</v>
      </c>
      <c r="E11" s="18" t="s">
        <v>654</v>
      </c>
      <c r="F11" s="18" t="s">
        <v>662</v>
      </c>
      <c r="G11" s="18" t="s">
        <v>392</v>
      </c>
      <c r="H11" s="22" t="n">
        <v>46308.6006944445</v>
      </c>
      <c r="I11" s="18" t="n">
        <v>29</v>
      </c>
      <c r="J11" s="21" t="n">
        <f aca="false">Config!$B$6</f>
        <v>150</v>
      </c>
      <c r="K11" s="18" t="str">
        <f aca="false">IF(E11="Rutgers staff","n/a (staff)",IF(I11&lt;=J11,"Pass","Fail"))</f>
        <v>Pass</v>
      </c>
      <c r="L11" s="18" t="s">
        <v>123</v>
      </c>
      <c r="M11" s="18" t="s">
        <v>656</v>
      </c>
      <c r="N11" s="18" t="str">
        <f aca="false">IF(E11="Rutgers staff","Accepted (staff)",IF(K11="Fail","Rejected (outside geofence)",IF(E11="Authorized student",IF(AND(L11="Yes",M11="Approved"),"Accepted (photo + location verified)","Pending photo review"),"Counted (basic student report)")))</f>
        <v>Accepted (photo + location verified)</v>
      </c>
      <c r="O11" s="18" t="n">
        <f aca="false">IF(E11="Rutgers staff",Config!$B$4,Config!$B$3)</f>
        <v>60</v>
      </c>
      <c r="P11" s="23" t="n">
        <f aca="false">H11+O11/1440</f>
        <v>46308.6423611111</v>
      </c>
      <c r="Q11" s="18" t="str">
        <f aca="false">IF(Config!$B$2&lt;=P11,"Valid","Expired")</f>
        <v>Valid</v>
      </c>
    </row>
    <row r="12" customFormat="false" ht="15" hidden="false" customHeight="true" outlineLevel="0" collapsed="false">
      <c r="A12" s="18" t="s">
        <v>663</v>
      </c>
      <c r="B12" s="18" t="s">
        <v>614</v>
      </c>
      <c r="C12" s="21" t="str">
        <f aca="false">INDEX(Inventory!$B$2:$B$225,MATCH($B12,Inventory!$A$2:$A$225,0))</f>
        <v>L08</v>
      </c>
      <c r="D12" s="21" t="str">
        <f aca="false">INDEX(Inventory!$E$2:$E$225,MATCH($B12,Inventory!$A$2:$A$225,0))</f>
        <v>P18</v>
      </c>
      <c r="E12" s="18" t="s">
        <v>645</v>
      </c>
      <c r="F12" s="18" t="s">
        <v>664</v>
      </c>
      <c r="G12" s="18" t="s">
        <v>404</v>
      </c>
      <c r="H12" s="22" t="n">
        <v>46308.6013888889</v>
      </c>
      <c r="I12" s="18" t="n">
        <v>53</v>
      </c>
      <c r="J12" s="21" t="n">
        <f aca="false">Config!$B$6</f>
        <v>150</v>
      </c>
      <c r="K12" s="18" t="str">
        <f aca="false">IF(E12="Rutgers staff","n/a (staff)",IF(I12&lt;=J12,"Pass","Fail"))</f>
        <v>Pass</v>
      </c>
      <c r="L12" s="18" t="s">
        <v>212</v>
      </c>
      <c r="M12" s="18" t="s">
        <v>641</v>
      </c>
      <c r="N12" s="18" t="str">
        <f aca="false">IF(E12="Rutgers staff","Accepted (staff)",IF(K12="Fail","Rejected (outside geofence)",IF(E12="Authorized student",IF(AND(L12="Yes",M12="Approved"),"Accepted (photo + location verified)","Pending photo review"),"Counted (basic student report)")))</f>
        <v>Counted (basic student report)</v>
      </c>
      <c r="O12" s="18" t="n">
        <f aca="false">IF(E12="Rutgers staff",Config!$B$4,Config!$B$3)</f>
        <v>60</v>
      </c>
      <c r="P12" s="23" t="n">
        <f aca="false">H12+O12/1440</f>
        <v>46308.6430555556</v>
      </c>
      <c r="Q12" s="18" t="str">
        <f aca="false">IF(Config!$B$2&lt;=P12,"Valid","Expired")</f>
        <v>Valid</v>
      </c>
    </row>
    <row r="13" customFormat="false" ht="15" hidden="false" customHeight="true" outlineLevel="0" collapsed="false">
      <c r="A13" s="18" t="s">
        <v>665</v>
      </c>
      <c r="B13" s="18" t="s">
        <v>427</v>
      </c>
      <c r="C13" s="21" t="str">
        <f aca="false">INDEX(Inventory!$B$2:$B$225,MATCH($B13,Inventory!$A$2:$A$225,0))</f>
        <v>L02</v>
      </c>
      <c r="D13" s="21" t="str">
        <f aca="false">INDEX(Inventory!$E$2:$E$225,MATCH($B13,Inventory!$A$2:$A$225,0))</f>
        <v>P01</v>
      </c>
      <c r="E13" s="18" t="s">
        <v>639</v>
      </c>
      <c r="F13" s="18" t="s">
        <v>666</v>
      </c>
      <c r="G13" s="18" t="s">
        <v>404</v>
      </c>
      <c r="H13" s="22" t="n">
        <v>46308.6041666667</v>
      </c>
      <c r="I13" s="18"/>
      <c r="J13" s="21" t="n">
        <f aca="false">Config!$B$6</f>
        <v>150</v>
      </c>
      <c r="K13" s="18" t="str">
        <f aca="false">IF(E13="Rutgers staff","n/a (staff)",IF(I13&lt;=J13,"Pass","Fail"))</f>
        <v>n/a (staff)</v>
      </c>
      <c r="L13" s="18" t="s">
        <v>641</v>
      </c>
      <c r="M13" s="18" t="s">
        <v>641</v>
      </c>
      <c r="N13" s="18" t="str">
        <f aca="false">IF(E13="Rutgers staff","Accepted (staff)",IF(K13="Fail","Rejected (outside geofence)",IF(E13="Authorized student",IF(AND(L13="Yes",M13="Approved"),"Accepted (photo + location verified)","Pending photo review"),"Counted (basic student report)")))</f>
        <v>Accepted (staff)</v>
      </c>
      <c r="O13" s="18" t="n">
        <f aca="false">IF(E13="Rutgers staff",Config!$B$4,Config!$B$3)</f>
        <v>240</v>
      </c>
      <c r="P13" s="23" t="n">
        <f aca="false">H13+O13/1440</f>
        <v>46308.7708333333</v>
      </c>
      <c r="Q13" s="18" t="str">
        <f aca="false">IF(Config!$B$2&lt;=P13,"Valid","Expired")</f>
        <v>Valid</v>
      </c>
    </row>
    <row r="14" customFormat="false" ht="15" hidden="false" customHeight="true" outlineLevel="0" collapsed="false">
      <c r="A14" s="18" t="s">
        <v>667</v>
      </c>
      <c r="B14" s="18" t="s">
        <v>444</v>
      </c>
      <c r="C14" s="21" t="str">
        <f aca="false">INDEX(Inventory!$B$2:$B$225,MATCH($B14,Inventory!$A$2:$A$225,0))</f>
        <v>L02</v>
      </c>
      <c r="D14" s="21" t="str">
        <f aca="false">INDEX(Inventory!$E$2:$E$225,MATCH($B14,Inventory!$A$2:$A$225,0))</f>
        <v>P18</v>
      </c>
      <c r="E14" s="18" t="s">
        <v>654</v>
      </c>
      <c r="F14" s="18" t="s">
        <v>668</v>
      </c>
      <c r="G14" s="18" t="s">
        <v>392</v>
      </c>
      <c r="H14" s="22" t="n">
        <v>46308.6076388889</v>
      </c>
      <c r="I14" s="18" t="n">
        <v>31</v>
      </c>
      <c r="J14" s="21" t="n">
        <f aca="false">Config!$B$6</f>
        <v>150</v>
      </c>
      <c r="K14" s="18" t="str">
        <f aca="false">IF(E14="Rutgers staff","n/a (staff)",IF(I14&lt;=J14,"Pass","Fail"))</f>
        <v>Pass</v>
      </c>
      <c r="L14" s="18" t="s">
        <v>123</v>
      </c>
      <c r="M14" s="18" t="s">
        <v>656</v>
      </c>
      <c r="N14" s="18" t="str">
        <f aca="false">IF(E14="Rutgers staff","Accepted (staff)",IF(K14="Fail","Rejected (outside geofence)",IF(E14="Authorized student",IF(AND(L14="Yes",M14="Approved"),"Accepted (photo + location verified)","Pending photo review"),"Counted (basic student report)")))</f>
        <v>Accepted (photo + location verified)</v>
      </c>
      <c r="O14" s="18" t="n">
        <f aca="false">IF(E14="Rutgers staff",Config!$B$4,Config!$B$3)</f>
        <v>60</v>
      </c>
      <c r="P14" s="23" t="n">
        <f aca="false">H14+O14/1440</f>
        <v>46308.6493055556</v>
      </c>
      <c r="Q14" s="18" t="str">
        <f aca="false">IF(Config!$B$2&lt;=P14,"Valid","Expired")</f>
        <v>Valid</v>
      </c>
    </row>
    <row r="15" customFormat="false" ht="15" hidden="false" customHeight="true" outlineLevel="0" collapsed="false">
      <c r="A15" s="18" t="s">
        <v>669</v>
      </c>
      <c r="B15" s="18" t="s">
        <v>495</v>
      </c>
      <c r="C15" s="21" t="str">
        <f aca="false">INDEX(Inventory!$B$2:$B$225,MATCH($B15,Inventory!$A$2:$A$225,0))</f>
        <v>L04</v>
      </c>
      <c r="D15" s="21" t="str">
        <f aca="false">INDEX(Inventory!$E$2:$E$225,MATCH($B15,Inventory!$A$2:$A$225,0))</f>
        <v>P11</v>
      </c>
      <c r="E15" s="18" t="s">
        <v>654</v>
      </c>
      <c r="F15" s="18" t="s">
        <v>670</v>
      </c>
      <c r="G15" s="18" t="s">
        <v>392</v>
      </c>
      <c r="H15" s="22" t="n">
        <v>46308.6097222222</v>
      </c>
      <c r="I15" s="18" t="n">
        <v>420</v>
      </c>
      <c r="J15" s="21" t="n">
        <f aca="false">Config!$B$6</f>
        <v>150</v>
      </c>
      <c r="K15" s="18" t="str">
        <f aca="false">IF(E15="Rutgers staff","n/a (staff)",IF(I15&lt;=J15,"Pass","Fail"))</f>
        <v>Fail</v>
      </c>
      <c r="L15" s="18" t="s">
        <v>123</v>
      </c>
      <c r="M15" s="18" t="s">
        <v>656</v>
      </c>
      <c r="N15" s="18" t="str">
        <f aca="false">IF(E15="Rutgers staff","Accepted (staff)",IF(K15="Fail","Rejected (outside geofence)",IF(E15="Authorized student",IF(AND(L15="Yes",M15="Approved"),"Accepted (photo + location verified)","Pending photo review"),"Counted (basic student report)")))</f>
        <v>Rejected (outside geofence)</v>
      </c>
      <c r="O15" s="18" t="n">
        <f aca="false">IF(E15="Rutgers staff",Config!$B$4,Config!$B$3)</f>
        <v>60</v>
      </c>
      <c r="P15" s="23" t="n">
        <f aca="false">H15+O15/1440</f>
        <v>46308.6513888889</v>
      </c>
      <c r="Q15" s="18" t="str">
        <f aca="false">IF(Config!$B$2&lt;=P15,"Valid","Expired")</f>
        <v>Valid</v>
      </c>
    </row>
    <row r="16" customFormat="false" ht="15" hidden="false" customHeight="true" outlineLevel="0" collapsed="false">
      <c r="A16" s="18" t="s">
        <v>671</v>
      </c>
      <c r="B16" s="18" t="s">
        <v>456</v>
      </c>
      <c r="C16" s="21" t="str">
        <f aca="false">INDEX(Inventory!$B$2:$B$225,MATCH($B16,Inventory!$A$2:$A$225,0))</f>
        <v>L03</v>
      </c>
      <c r="D16" s="21" t="str">
        <f aca="false">INDEX(Inventory!$E$2:$E$225,MATCH($B16,Inventory!$A$2:$A$225,0))</f>
        <v>P02</v>
      </c>
      <c r="E16" s="18" t="s">
        <v>639</v>
      </c>
      <c r="F16" s="18" t="s">
        <v>672</v>
      </c>
      <c r="G16" s="18" t="s">
        <v>396</v>
      </c>
      <c r="H16" s="22" t="n">
        <v>46308.6111111111</v>
      </c>
      <c r="I16" s="18"/>
      <c r="J16" s="21" t="n">
        <f aca="false">Config!$B$6</f>
        <v>150</v>
      </c>
      <c r="K16" s="18" t="str">
        <f aca="false">IF(E16="Rutgers staff","n/a (staff)",IF(I16&lt;=J16,"Pass","Fail"))</f>
        <v>n/a (staff)</v>
      </c>
      <c r="L16" s="18" t="s">
        <v>641</v>
      </c>
      <c r="M16" s="18" t="s">
        <v>641</v>
      </c>
      <c r="N16" s="18" t="str">
        <f aca="false">IF(E16="Rutgers staff","Accepted (staff)",IF(K16="Fail","Rejected (outside geofence)",IF(E16="Authorized student",IF(AND(L16="Yes",M16="Approved"),"Accepted (photo + location verified)","Pending photo review"),"Counted (basic student report)")))</f>
        <v>Accepted (staff)</v>
      </c>
      <c r="O16" s="18" t="n">
        <f aca="false">IF(E16="Rutgers staff",Config!$B$4,Config!$B$3)</f>
        <v>240</v>
      </c>
      <c r="P16" s="23" t="n">
        <f aca="false">H16+O16/1440</f>
        <v>46308.7777777778</v>
      </c>
      <c r="Q16" s="18" t="str">
        <f aca="false">IF(Config!$B$2&lt;=P16,"Valid","Expired")</f>
        <v>Valid</v>
      </c>
    </row>
    <row r="17" customFormat="false" ht="15" hidden="false" customHeight="true" outlineLevel="0" collapsed="false">
      <c r="A17" s="18" t="s">
        <v>673</v>
      </c>
      <c r="B17" s="18" t="s">
        <v>614</v>
      </c>
      <c r="C17" s="21" t="str">
        <f aca="false">INDEX(Inventory!$B$2:$B$225,MATCH($B17,Inventory!$A$2:$A$225,0))</f>
        <v>L08</v>
      </c>
      <c r="D17" s="21" t="str">
        <f aca="false">INDEX(Inventory!$E$2:$E$225,MATCH($B17,Inventory!$A$2:$A$225,0))</f>
        <v>P18</v>
      </c>
      <c r="E17" s="18" t="s">
        <v>645</v>
      </c>
      <c r="F17" s="18" t="s">
        <v>674</v>
      </c>
      <c r="G17" s="18" t="s">
        <v>404</v>
      </c>
      <c r="H17" s="22" t="n">
        <v>46308.6111111111</v>
      </c>
      <c r="I17" s="18" t="n">
        <v>117</v>
      </c>
      <c r="J17" s="21" t="n">
        <f aca="false">Config!$B$6</f>
        <v>150</v>
      </c>
      <c r="K17" s="18" t="str">
        <f aca="false">IF(E17="Rutgers staff","n/a (staff)",IF(I17&lt;=J17,"Pass","Fail"))</f>
        <v>Pass</v>
      </c>
      <c r="L17" s="18" t="s">
        <v>212</v>
      </c>
      <c r="M17" s="18" t="s">
        <v>641</v>
      </c>
      <c r="N17" s="18" t="str">
        <f aca="false">IF(E17="Rutgers staff","Accepted (staff)",IF(K17="Fail","Rejected (outside geofence)",IF(E17="Authorized student",IF(AND(L17="Yes",M17="Approved"),"Accepted (photo + location verified)","Pending photo review"),"Counted (basic student report)")))</f>
        <v>Counted (basic student report)</v>
      </c>
      <c r="O17" s="18" t="n">
        <f aca="false">IF(E17="Rutgers staff",Config!$B$4,Config!$B$3)</f>
        <v>60</v>
      </c>
      <c r="P17" s="23" t="n">
        <f aca="false">H17+O17/1440</f>
        <v>46308.6527777778</v>
      </c>
      <c r="Q17" s="18" t="str">
        <f aca="false">IF(Config!$B$2&lt;=P17,"Valid","Expired")</f>
        <v>Valid</v>
      </c>
    </row>
    <row r="18" customFormat="false" ht="15" hidden="false" customHeight="true" outlineLevel="0" collapsed="false">
      <c r="A18" s="18" t="s">
        <v>675</v>
      </c>
      <c r="B18" s="18" t="s">
        <v>485</v>
      </c>
      <c r="C18" s="21" t="str">
        <f aca="false">INDEX(Inventory!$B$2:$B$225,MATCH($B18,Inventory!$A$2:$A$225,0))</f>
        <v>L04</v>
      </c>
      <c r="D18" s="21" t="str">
        <f aca="false">INDEX(Inventory!$E$2:$E$225,MATCH($B18,Inventory!$A$2:$A$225,0))</f>
        <v>P02</v>
      </c>
      <c r="E18" s="18" t="s">
        <v>654</v>
      </c>
      <c r="F18" s="18" t="s">
        <v>676</v>
      </c>
      <c r="G18" s="18" t="s">
        <v>404</v>
      </c>
      <c r="H18" s="22" t="n">
        <v>46308.6145833333</v>
      </c>
      <c r="I18" s="18" t="n">
        <v>67</v>
      </c>
      <c r="J18" s="21" t="n">
        <f aca="false">Config!$B$6</f>
        <v>150</v>
      </c>
      <c r="K18" s="18" t="str">
        <f aca="false">IF(E18="Rutgers staff","n/a (staff)",IF(I18&lt;=J18,"Pass","Fail"))</f>
        <v>Pass</v>
      </c>
      <c r="L18" s="18" t="s">
        <v>123</v>
      </c>
      <c r="M18" s="18" t="s">
        <v>656</v>
      </c>
      <c r="N18" s="18" t="str">
        <f aca="false">IF(E18="Rutgers staff","Accepted (staff)",IF(K18="Fail","Rejected (outside geofence)",IF(E18="Authorized student",IF(AND(L18="Yes",M18="Approved"),"Accepted (photo + location verified)","Pending photo review"),"Counted (basic student report)")))</f>
        <v>Accepted (photo + location verified)</v>
      </c>
      <c r="O18" s="18" t="n">
        <f aca="false">IF(E18="Rutgers staff",Config!$B$4,Config!$B$3)</f>
        <v>60</v>
      </c>
      <c r="P18" s="23" t="n">
        <f aca="false">H18+O18/1440</f>
        <v>46308.65625</v>
      </c>
      <c r="Q18" s="18" t="str">
        <f aca="false">IF(Config!$B$2&lt;=P18,"Valid","Expired")</f>
        <v>Valid</v>
      </c>
    </row>
    <row r="19" customFormat="false" ht="15" hidden="false" customHeight="true" outlineLevel="0" collapsed="false">
      <c r="A19" s="18" t="s">
        <v>677</v>
      </c>
      <c r="B19" s="18" t="s">
        <v>395</v>
      </c>
      <c r="C19" s="21" t="str">
        <f aca="false">INDEX(Inventory!$B$2:$B$225,MATCH($B19,Inventory!$A$2:$A$225,0))</f>
        <v>L01</v>
      </c>
      <c r="D19" s="21" t="str">
        <f aca="false">INDEX(Inventory!$E$2:$E$225,MATCH($B19,Inventory!$A$2:$A$225,0))</f>
        <v>P02</v>
      </c>
      <c r="E19" s="18" t="s">
        <v>645</v>
      </c>
      <c r="F19" s="18" t="s">
        <v>678</v>
      </c>
      <c r="G19" s="18" t="s">
        <v>396</v>
      </c>
      <c r="H19" s="22" t="n">
        <v>46308.6166666667</v>
      </c>
      <c r="I19" s="18" t="n">
        <v>116</v>
      </c>
      <c r="J19" s="21" t="n">
        <f aca="false">Config!$B$6</f>
        <v>150</v>
      </c>
      <c r="K19" s="18" t="str">
        <f aca="false">IF(E19="Rutgers staff","n/a (staff)",IF(I19&lt;=J19,"Pass","Fail"))</f>
        <v>Pass</v>
      </c>
      <c r="L19" s="18" t="s">
        <v>212</v>
      </c>
      <c r="M19" s="18" t="s">
        <v>641</v>
      </c>
      <c r="N19" s="18" t="str">
        <f aca="false">IF(E19="Rutgers staff","Accepted (staff)",IF(K19="Fail","Rejected (outside geofence)",IF(E19="Authorized student",IF(AND(L19="Yes",M19="Approved"),"Accepted (photo + location verified)","Pending photo review"),"Counted (basic student report)")))</f>
        <v>Counted (basic student report)</v>
      </c>
      <c r="O19" s="18" t="n">
        <f aca="false">IF(E19="Rutgers staff",Config!$B$4,Config!$B$3)</f>
        <v>60</v>
      </c>
      <c r="P19" s="23" t="n">
        <f aca="false">H19+O19/1440</f>
        <v>46308.6583333333</v>
      </c>
      <c r="Q19" s="18" t="str">
        <f aca="false">IF(Config!$B$2&lt;=P19,"Valid","Expired")</f>
        <v>Valid</v>
      </c>
    </row>
    <row r="20" customFormat="false" ht="15" hidden="false" customHeight="true" outlineLevel="0" collapsed="false">
      <c r="A20" s="18" t="s">
        <v>679</v>
      </c>
      <c r="B20" s="18" t="s">
        <v>541</v>
      </c>
      <c r="C20" s="21" t="str">
        <f aca="false">INDEX(Inventory!$B$2:$B$225,MATCH($B20,Inventory!$A$2:$A$225,0))</f>
        <v>L06</v>
      </c>
      <c r="D20" s="21" t="str">
        <f aca="false">INDEX(Inventory!$E$2:$E$225,MATCH($B20,Inventory!$A$2:$A$225,0))</f>
        <v>P01</v>
      </c>
      <c r="E20" s="18" t="s">
        <v>654</v>
      </c>
      <c r="F20" s="18" t="s">
        <v>680</v>
      </c>
      <c r="G20" s="18" t="s">
        <v>392</v>
      </c>
      <c r="H20" s="22" t="n">
        <v>46308.61875</v>
      </c>
      <c r="I20" s="18" t="n">
        <v>50</v>
      </c>
      <c r="J20" s="21" t="n">
        <f aca="false">Config!$B$6</f>
        <v>150</v>
      </c>
      <c r="K20" s="18" t="str">
        <f aca="false">IF(E20="Rutgers staff","n/a (staff)",IF(I20&lt;=J20,"Pass","Fail"))</f>
        <v>Pass</v>
      </c>
      <c r="L20" s="18" t="s">
        <v>123</v>
      </c>
      <c r="M20" s="18" t="s">
        <v>681</v>
      </c>
      <c r="N20" s="18" t="str">
        <f aca="false">IF(E20="Rutgers staff","Accepted (staff)",IF(K20="Fail","Rejected (outside geofence)",IF(E20="Authorized student",IF(AND(L20="Yes",M20="Approved"),"Accepted (photo + location verified)","Pending photo review"),"Counted (basic student report)")))</f>
        <v>Pending photo review</v>
      </c>
      <c r="O20" s="18" t="n">
        <f aca="false">IF(E20="Rutgers staff",Config!$B$4,Config!$B$3)</f>
        <v>60</v>
      </c>
      <c r="P20" s="23" t="n">
        <f aca="false">H20+O20/1440</f>
        <v>46308.6604166667</v>
      </c>
      <c r="Q20" s="18" t="str">
        <f aca="false">IF(Config!$B$2&lt;=P20,"Valid","Expired")</f>
        <v>Valid</v>
      </c>
    </row>
    <row r="21" customFormat="false" ht="15" hidden="false" customHeight="true" outlineLevel="0" collapsed="false">
      <c r="A21" s="18" t="s">
        <v>682</v>
      </c>
      <c r="B21" s="18" t="s">
        <v>570</v>
      </c>
      <c r="C21" s="21" t="str">
        <f aca="false">INDEX(Inventory!$B$2:$B$225,MATCH($B21,Inventory!$A$2:$A$225,0))</f>
        <v>L07</v>
      </c>
      <c r="D21" s="21" t="str">
        <f aca="false">INDEX(Inventory!$E$2:$E$225,MATCH($B21,Inventory!$A$2:$A$225,0))</f>
        <v>P02</v>
      </c>
      <c r="E21" s="18" t="s">
        <v>654</v>
      </c>
      <c r="F21" s="18" t="s">
        <v>683</v>
      </c>
      <c r="G21" s="18" t="s">
        <v>404</v>
      </c>
      <c r="H21" s="22" t="n">
        <v>46308.6208333333</v>
      </c>
      <c r="I21" s="18" t="n">
        <v>40</v>
      </c>
      <c r="J21" s="21" t="n">
        <f aca="false">Config!$B$6</f>
        <v>150</v>
      </c>
      <c r="K21" s="18" t="str">
        <f aca="false">IF(E21="Rutgers staff","n/a (staff)",IF(I21&lt;=J21,"Pass","Fail"))</f>
        <v>Pass</v>
      </c>
      <c r="L21" s="18" t="s">
        <v>123</v>
      </c>
      <c r="M21" s="18" t="s">
        <v>681</v>
      </c>
      <c r="N21" s="18" t="str">
        <f aca="false">IF(E21="Rutgers staff","Accepted (staff)",IF(K21="Fail","Rejected (outside geofence)",IF(E21="Authorized student",IF(AND(L21="Yes",M21="Approved"),"Accepted (photo + location verified)","Pending photo review"),"Counted (basic student report)")))</f>
        <v>Pending photo review</v>
      </c>
      <c r="O21" s="18" t="n">
        <f aca="false">IF(E21="Rutgers staff",Config!$B$4,Config!$B$3)</f>
        <v>60</v>
      </c>
      <c r="P21" s="23" t="n">
        <f aca="false">H21+O21/1440</f>
        <v>46308.6625</v>
      </c>
      <c r="Q21" s="18" t="str">
        <f aca="false">IF(Config!$B$2&lt;=P21,"Valid","Expired")</f>
        <v>Valid</v>
      </c>
    </row>
  </sheetData>
  <autoFilter ref="A1:Q21"/>
  <conditionalFormatting sqref="N2:N21">
    <cfRule type="expression" priority="2" aboveAverage="0" equalAverage="0" bottom="0" percent="0" rank="0" text="" dxfId="14">
      <formula>LEFT($N2,8)="Rejected"</formula>
    </cfRule>
    <cfRule type="expression" priority="3" aboveAverage="0" equalAverage="0" bottom="0" percent="0" rank="0" text="" dxfId="13">
      <formula>LEFT($N2,7)="Pending"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20"/>
    <col collapsed="false" customWidth="true" hidden="false" outlineLevel="0" max="4" min="4" style="1" width="34"/>
    <col collapsed="false" customWidth="true" hidden="false" outlineLevel="0" max="5" min="5" style="1" width="16"/>
    <col collapsed="false" customWidth="true" hidden="false" outlineLevel="0" max="7" min="6" style="1" width="17"/>
    <col collapsed="false" customWidth="true" hidden="false" outlineLevel="0" max="8" min="8" style="1" width="30"/>
    <col collapsed="false" customWidth="true" hidden="false" outlineLevel="0" max="9" min="9" style="1" width="20"/>
    <col collapsed="false" customWidth="true" hidden="false" outlineLevel="0" max="10" min="10" style="1" width="12"/>
    <col collapsed="false" customWidth="true" hidden="false" outlineLevel="0" max="11" min="11" style="1" width="24"/>
    <col collapsed="false" customWidth="true" hidden="false" outlineLevel="0" max="12" min="12" style="1" width="30"/>
    <col collapsed="false" customWidth="true" hidden="false" outlineLevel="0" max="13" min="13" style="1" width="9"/>
    <col collapsed="false" customWidth="true" hidden="false" outlineLevel="0" max="14" min="14" style="1" width="16"/>
    <col collapsed="false" customWidth="true" hidden="false" outlineLevel="0" max="15" min="15" style="1" width="17"/>
  </cols>
  <sheetData>
    <row r="1" customFormat="false" ht="31.5" hidden="false" customHeight="true" outlineLevel="0" collapsed="false">
      <c r="A1" s="14" t="s">
        <v>684</v>
      </c>
      <c r="B1" s="14" t="s">
        <v>378</v>
      </c>
      <c r="C1" s="14" t="s">
        <v>92</v>
      </c>
      <c r="D1" s="14" t="s">
        <v>194</v>
      </c>
      <c r="E1" s="14" t="s">
        <v>685</v>
      </c>
      <c r="F1" s="14" t="s">
        <v>686</v>
      </c>
      <c r="G1" s="14" t="s">
        <v>635</v>
      </c>
      <c r="H1" s="14" t="s">
        <v>48</v>
      </c>
      <c r="I1" s="14" t="s">
        <v>687</v>
      </c>
      <c r="J1" s="14" t="s">
        <v>688</v>
      </c>
      <c r="K1" s="14" t="s">
        <v>689</v>
      </c>
      <c r="L1" s="14" t="s">
        <v>690</v>
      </c>
      <c r="M1" s="14" t="s">
        <v>691</v>
      </c>
      <c r="N1" s="14" t="s">
        <v>692</v>
      </c>
      <c r="O1" s="14" t="s">
        <v>693</v>
      </c>
      <c r="Q1" s="13" t="s">
        <v>694</v>
      </c>
    </row>
    <row r="2" customFormat="false" ht="15" hidden="false" customHeight="true" outlineLevel="0" collapsed="false">
      <c r="A2" s="18" t="s">
        <v>695</v>
      </c>
      <c r="B2" s="18" t="s">
        <v>472</v>
      </c>
      <c r="C2" s="21" t="str">
        <f aca="false">INDEX(Inventory!$C$2:$C$225,MATCH($B2,Inventory!$A$2:$A$225,0))</f>
        <v>Kilmer's Market</v>
      </c>
      <c r="D2" s="21" t="str">
        <f aca="false">INDEX(Inventory!$F$2:$F$225,MATCH($B2,Inventory!$A$2:$A$225,0))</f>
        <v>Pedialyte</v>
      </c>
      <c r="E2" s="18" t="s">
        <v>696</v>
      </c>
      <c r="F2" s="23" t="n">
        <v>46308.6111111111</v>
      </c>
      <c r="G2" s="23" t="n">
        <f aca="false">F2+Config!$B$5/1440</f>
        <v>46308.6631944444</v>
      </c>
      <c r="H2" s="18" t="s">
        <v>697</v>
      </c>
      <c r="I2" s="18" t="str">
        <f aca="false">IF(AND(H2="Active",Config!$B$2&gt;G2),"Expired (auto)",H2)</f>
        <v>Active</v>
      </c>
      <c r="J2" s="18" t="n">
        <f aca="false">IF(I2="Active",ROUND((G2-Config!$B$2)*1440,0),"")</f>
        <v>55</v>
      </c>
      <c r="K2" s="18" t="s">
        <v>698</v>
      </c>
      <c r="L2" s="18" t="s">
        <v>699</v>
      </c>
      <c r="M2" s="18" t="n">
        <v>1</v>
      </c>
      <c r="N2" s="18" t="s">
        <v>700</v>
      </c>
      <c r="O2" s="23"/>
    </row>
    <row r="3" customFormat="false" ht="15" hidden="false" customHeight="true" outlineLevel="0" collapsed="false">
      <c r="A3" s="18" t="s">
        <v>701</v>
      </c>
      <c r="B3" s="18" t="s">
        <v>391</v>
      </c>
      <c r="C3" s="21" t="str">
        <f aca="false">INDEX(Inventory!$C$2:$C$225,MATCH($B3,Inventory!$A$2:$A$225,0))</f>
        <v>The Atrium</v>
      </c>
      <c r="D3" s="21" t="str">
        <f aca="false">INDEX(Inventory!$F$2:$F$225,MATCH($B3,Inventory!$A$2:$A$225,0))</f>
        <v>Tylenol Extra Strength</v>
      </c>
      <c r="E3" s="18" t="s">
        <v>702</v>
      </c>
      <c r="F3" s="23" t="n">
        <v>46308.5902777778</v>
      </c>
      <c r="G3" s="23" t="n">
        <f aca="false">F3+Config!$B$5/1440</f>
        <v>46308.6423611111</v>
      </c>
      <c r="H3" s="18" t="s">
        <v>703</v>
      </c>
      <c r="I3" s="18" t="str">
        <f aca="false">IF(AND(H3="Active",Config!$B$2&gt;G3),"Expired (auto)",H3)</f>
        <v>Collected</v>
      </c>
      <c r="J3" s="18" t="str">
        <f aca="false">IF(I3="Active",ROUND((G3-Config!$B$2)*1440,0),"")</f>
        <v/>
      </c>
      <c r="K3" s="18" t="s">
        <v>704</v>
      </c>
      <c r="L3" s="18" t="s">
        <v>705</v>
      </c>
      <c r="M3" s="18" t="n">
        <v>1</v>
      </c>
      <c r="N3" s="18" t="s">
        <v>706</v>
      </c>
      <c r="O3" s="23" t="n">
        <v>46308.5986111111</v>
      </c>
    </row>
    <row r="4" customFormat="false" ht="15" hidden="false" customHeight="true" outlineLevel="0" collapsed="false">
      <c r="A4" s="18" t="s">
        <v>707</v>
      </c>
      <c r="B4" s="18" t="s">
        <v>614</v>
      </c>
      <c r="C4" s="21" t="str">
        <f aca="false">INDEX(Inventory!$C$2:$C$225,MATCH($B4,Inventory!$A$2:$A$225,0))</f>
        <v>Douglass Cafe</v>
      </c>
      <c r="D4" s="21" t="str">
        <f aca="false">INDEX(Inventory!$F$2:$F$225,MATCH($B4,Inventory!$A$2:$A$225,0))</f>
        <v>Digital thermometer (brand varies)</v>
      </c>
      <c r="E4" s="18" t="s">
        <v>708</v>
      </c>
      <c r="F4" s="23" t="n">
        <v>46308.6145833333</v>
      </c>
      <c r="G4" s="23" t="n">
        <f aca="false">F4+Config!$B$5/1440</f>
        <v>46308.6666666667</v>
      </c>
      <c r="H4" s="18" t="s">
        <v>697</v>
      </c>
      <c r="I4" s="18" t="str">
        <f aca="false">IF(AND(H4="Active",Config!$B$2&gt;G4),"Expired (auto)",H4)</f>
        <v>Active</v>
      </c>
      <c r="J4" s="18" t="n">
        <f aca="false">IF(I4="Active",ROUND((G4-Config!$B$2)*1440,0),"")</f>
        <v>60</v>
      </c>
      <c r="K4" s="18" t="s">
        <v>704</v>
      </c>
      <c r="L4" s="18" t="s">
        <v>709</v>
      </c>
      <c r="M4" s="18" t="n">
        <v>1</v>
      </c>
      <c r="N4" s="18" t="s">
        <v>710</v>
      </c>
      <c r="O4" s="23"/>
    </row>
    <row r="5" customFormat="false" ht="15" hidden="false" customHeight="true" outlineLevel="0" collapsed="false">
      <c r="A5" s="18" t="s">
        <v>711</v>
      </c>
      <c r="B5" s="18" t="s">
        <v>444</v>
      </c>
      <c r="C5" s="21" t="str">
        <f aca="false">INDEX(Inventory!$C$2:$C$225,MATCH($B5,Inventory!$A$2:$A$225,0))</f>
        <v>Cafe West</v>
      </c>
      <c r="D5" s="21" t="str">
        <f aca="false">INDEX(Inventory!$F$2:$F$225,MATCH($B5,Inventory!$A$2:$A$225,0))</f>
        <v>Digital thermometer (brand varies)</v>
      </c>
      <c r="E5" s="18" t="s">
        <v>712</v>
      </c>
      <c r="F5" s="23" t="n">
        <v>46308.6041666667</v>
      </c>
      <c r="G5" s="23" t="n">
        <f aca="false">F5+Config!$B$5/1440</f>
        <v>46308.65625</v>
      </c>
      <c r="H5" s="18" t="s">
        <v>697</v>
      </c>
      <c r="I5" s="18" t="str">
        <f aca="false">IF(AND(H5="Active",Config!$B$2&gt;G5),"Expired (auto)",H5)</f>
        <v>Active</v>
      </c>
      <c r="J5" s="18" t="n">
        <f aca="false">IF(I5="Active",ROUND((G5-Config!$B$2)*1440,0),"")</f>
        <v>45</v>
      </c>
      <c r="K5" s="18" t="s">
        <v>704</v>
      </c>
      <c r="L5" s="18" t="s">
        <v>709</v>
      </c>
      <c r="M5" s="18" t="n">
        <v>1</v>
      </c>
      <c r="N5" s="18" t="s">
        <v>713</v>
      </c>
      <c r="O5" s="23"/>
    </row>
    <row r="6" customFormat="false" ht="15" hidden="false" customHeight="true" outlineLevel="0" collapsed="false">
      <c r="A6" s="18" t="s">
        <v>714</v>
      </c>
      <c r="B6" s="18" t="s">
        <v>520</v>
      </c>
      <c r="C6" s="21" t="str">
        <f aca="false">INDEX(Inventory!$C$2:$C$225,MATCH($B6,Inventory!$A$2:$A$225,0))</f>
        <v>Harvest Juice Bar</v>
      </c>
      <c r="D6" s="21" t="str">
        <f aca="false">INDEX(Inventory!$F$2:$F$225,MATCH($B6,Inventory!$A$2:$A$225,0))</f>
        <v>Mucinex</v>
      </c>
      <c r="E6" s="18" t="s">
        <v>715</v>
      </c>
      <c r="F6" s="23" t="n">
        <v>46308.6180555556</v>
      </c>
      <c r="G6" s="23" t="n">
        <f aca="false">F6+Config!$B$5/1440</f>
        <v>46308.6701388889</v>
      </c>
      <c r="H6" s="18" t="s">
        <v>697</v>
      </c>
      <c r="I6" s="18" t="str">
        <f aca="false">IF(AND(H6="Active",Config!$B$2&gt;G6),"Expired (auto)",H6)</f>
        <v>Active</v>
      </c>
      <c r="J6" s="18" t="n">
        <f aca="false">IF(I6="Active",ROUND((G6-Config!$B$2)*1440,0),"")</f>
        <v>65</v>
      </c>
      <c r="K6" s="18" t="s">
        <v>704</v>
      </c>
      <c r="L6" s="18" t="s">
        <v>716</v>
      </c>
      <c r="M6" s="18" t="n">
        <v>1</v>
      </c>
      <c r="N6" s="18" t="s">
        <v>717</v>
      </c>
      <c r="O6" s="23"/>
    </row>
    <row r="7" customFormat="false" ht="15" hidden="false" customHeight="true" outlineLevel="0" collapsed="false">
      <c r="A7" s="18" t="s">
        <v>718</v>
      </c>
      <c r="B7" s="18" t="s">
        <v>485</v>
      </c>
      <c r="C7" s="21" t="str">
        <f aca="false">INDEX(Inventory!$C$2:$C$225,MATCH($B7,Inventory!$A$2:$A$225,0))</f>
        <v>Henry's Diner</v>
      </c>
      <c r="D7" s="21" t="str">
        <f aca="false">INDEX(Inventory!$F$2:$F$225,MATCH($B7,Inventory!$A$2:$A$225,0))</f>
        <v>Advil</v>
      </c>
      <c r="E7" s="18" t="s">
        <v>719</v>
      </c>
      <c r="F7" s="23" t="n">
        <v>46308.5972222222</v>
      </c>
      <c r="G7" s="23" t="n">
        <f aca="false">F7+Config!$B$5/1440</f>
        <v>46308.6493055556</v>
      </c>
      <c r="H7" s="18" t="s">
        <v>720</v>
      </c>
      <c r="I7" s="18" t="str">
        <f aca="false">IF(AND(H7="Active",Config!$B$2&gt;G7),"Expired (auto)",H7)</f>
        <v>Cancelled</v>
      </c>
      <c r="J7" s="18" t="str">
        <f aca="false">IF(I7="Active",ROUND((G7-Config!$B$2)*1440,0),"")</f>
        <v/>
      </c>
      <c r="K7" s="18" t="s">
        <v>704</v>
      </c>
      <c r="L7" s="18" t="s">
        <v>705</v>
      </c>
      <c r="M7" s="18" t="n">
        <v>1</v>
      </c>
      <c r="N7" s="18" t="s">
        <v>721</v>
      </c>
      <c r="O7" s="23"/>
    </row>
    <row r="8" customFormat="false" ht="15" hidden="false" customHeight="true" outlineLevel="0" collapsed="false">
      <c r="A8" s="18" t="s">
        <v>722</v>
      </c>
      <c r="B8" s="18" t="s">
        <v>469</v>
      </c>
      <c r="C8" s="21" t="str">
        <f aca="false">INDEX(Inventory!$C$2:$C$225,MATCH($B8,Inventory!$A$2:$A$225,0))</f>
        <v>Kilmer's Market</v>
      </c>
      <c r="D8" s="21" t="str">
        <f aca="false">INDEX(Inventory!$F$2:$F$225,MATCH($B8,Inventory!$A$2:$A$225,0))</f>
        <v>Tums</v>
      </c>
      <c r="E8" s="18" t="s">
        <v>723</v>
      </c>
      <c r="F8" s="23" t="n">
        <v>46308.5555555556</v>
      </c>
      <c r="G8" s="23" t="n">
        <f aca="false">F8+Config!$B$5/1440</f>
        <v>46308.6076388889</v>
      </c>
      <c r="H8" s="18" t="s">
        <v>697</v>
      </c>
      <c r="I8" s="18" t="str">
        <f aca="false">IF(AND(H8="Active",Config!$B$2&gt;G8),"Expired (auto)",H8)</f>
        <v>Expired (auto)</v>
      </c>
      <c r="J8" s="18" t="str">
        <f aca="false">IF(I8="Active",ROUND((G8-Config!$B$2)*1440,0),"")</f>
        <v/>
      </c>
      <c r="K8" s="18" t="s">
        <v>698</v>
      </c>
      <c r="L8" s="18" t="s">
        <v>699</v>
      </c>
      <c r="M8" s="18" t="n">
        <v>1</v>
      </c>
      <c r="N8" s="18" t="s">
        <v>724</v>
      </c>
      <c r="O8" s="23"/>
    </row>
    <row r="9" customFormat="false" ht="15" hidden="false" customHeight="true" outlineLevel="0" collapsed="false">
      <c r="A9" s="18" t="s">
        <v>725</v>
      </c>
      <c r="B9" s="18" t="s">
        <v>427</v>
      </c>
      <c r="C9" s="21" t="str">
        <f aca="false">INDEX(Inventory!$C$2:$C$225,MATCH($B9,Inventory!$A$2:$A$225,0))</f>
        <v>Cafe West</v>
      </c>
      <c r="D9" s="21" t="str">
        <f aca="false">INDEX(Inventory!$F$2:$F$225,MATCH($B9,Inventory!$A$2:$A$225,0))</f>
        <v>Tylenol Extra Strength</v>
      </c>
      <c r="E9" s="18" t="s">
        <v>726</v>
      </c>
      <c r="F9" s="23" t="n">
        <v>46308.6166666667</v>
      </c>
      <c r="G9" s="23" t="n">
        <f aca="false">F9+Config!$B$5/1440</f>
        <v>46308.66875</v>
      </c>
      <c r="H9" s="18" t="s">
        <v>697</v>
      </c>
      <c r="I9" s="18" t="str">
        <f aca="false">IF(AND(H9="Active",Config!$B$2&gt;G9),"Expired (auto)",H9)</f>
        <v>Active</v>
      </c>
      <c r="J9" s="18" t="n">
        <f aca="false">IF(I9="Active",ROUND((G9-Config!$B$2)*1440,0),"")</f>
        <v>63</v>
      </c>
      <c r="K9" s="18" t="s">
        <v>704</v>
      </c>
      <c r="L9" s="18" t="s">
        <v>709</v>
      </c>
      <c r="M9" s="18" t="n">
        <v>1</v>
      </c>
      <c r="N9" s="18" t="s">
        <v>727</v>
      </c>
      <c r="O9" s="23"/>
    </row>
    <row r="10" customFormat="false" ht="15" hidden="false" customHeight="true" outlineLevel="0" collapsed="false">
      <c r="A10" s="18" t="s">
        <v>728</v>
      </c>
      <c r="B10" s="18" t="s">
        <v>427</v>
      </c>
      <c r="C10" s="21" t="str">
        <f aca="false">INDEX(Inventory!$C$2:$C$225,MATCH($B10,Inventory!$A$2:$A$225,0))</f>
        <v>Cafe West</v>
      </c>
      <c r="D10" s="21" t="str">
        <f aca="false">INDEX(Inventory!$F$2:$F$225,MATCH($B10,Inventory!$A$2:$A$225,0))</f>
        <v>Tylenol Extra Strength</v>
      </c>
      <c r="E10" s="18" t="s">
        <v>729</v>
      </c>
      <c r="F10" s="23" t="n">
        <v>46308.61875</v>
      </c>
      <c r="G10" s="23" t="n">
        <f aca="false">F10+Config!$B$5/1440</f>
        <v>46308.6708333333</v>
      </c>
      <c r="H10" s="18" t="s">
        <v>730</v>
      </c>
      <c r="I10" s="18" t="str">
        <f aca="false">IF(AND(H10="Active",Config!$B$2&gt;G10),"Expired (auto)",H10)</f>
        <v>Declined (first come, first served)</v>
      </c>
      <c r="J10" s="18" t="str">
        <f aca="false">IF(I10="Active",ROUND((G10-Config!$B$2)*1440,0),"")</f>
        <v/>
      </c>
      <c r="K10" s="18" t="s">
        <v>704</v>
      </c>
      <c r="L10" s="18" t="s">
        <v>709</v>
      </c>
      <c r="M10" s="18" t="n">
        <v>1</v>
      </c>
      <c r="N10" s="18" t="s">
        <v>731</v>
      </c>
      <c r="O10" s="23"/>
    </row>
    <row r="11" customFormat="false" ht="15" hidden="false" customHeight="true" outlineLevel="0" collapsed="false">
      <c r="A11" s="18" t="s">
        <v>732</v>
      </c>
      <c r="B11" s="18" t="s">
        <v>424</v>
      </c>
      <c r="C11" s="21" t="str">
        <f aca="false">INDEX(Inventory!$C$2:$C$225,MATCH($B11,Inventory!$A$2:$A$225,0))</f>
        <v>The Atrium</v>
      </c>
      <c r="D11" s="21" t="str">
        <f aca="false">INDEX(Inventory!$F$2:$F$225,MATCH($B11,Inventory!$A$2:$A$225,0))</f>
        <v>Tampax Pearl Tampons</v>
      </c>
      <c r="E11" s="18" t="s">
        <v>733</v>
      </c>
      <c r="F11" s="23" t="n">
        <v>46308.5763888889</v>
      </c>
      <c r="G11" s="23" t="n">
        <f aca="false">F11+Config!$B$5/1440</f>
        <v>46308.6284722222</v>
      </c>
      <c r="H11" s="18" t="s">
        <v>703</v>
      </c>
      <c r="I11" s="18" t="str">
        <f aca="false">IF(AND(H11="Active",Config!$B$2&gt;G11),"Expired (auto)",H11)</f>
        <v>Collected</v>
      </c>
      <c r="J11" s="18" t="str">
        <f aca="false">IF(I11="Active",ROUND((G11-Config!$B$2)*1440,0),"")</f>
        <v/>
      </c>
      <c r="K11" s="18" t="s">
        <v>704</v>
      </c>
      <c r="L11" s="18" t="s">
        <v>705</v>
      </c>
      <c r="M11" s="18" t="n">
        <v>1</v>
      </c>
      <c r="N11" s="18" t="s">
        <v>734</v>
      </c>
      <c r="O11" s="23" t="n">
        <v>46308.5819444444</v>
      </c>
    </row>
  </sheetData>
  <autoFilter ref="A1:O11"/>
  <conditionalFormatting sqref="I2:I11">
    <cfRule type="expression" priority="2" aboveAverage="0" equalAverage="0" bottom="0" percent="0" rank="0" text="" dxfId="14">
      <formula>LEFT($I2,7)="Expired"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9" min="2" style="1" width="14"/>
  </cols>
  <sheetData>
    <row r="1" customFormat="false" ht="15" hidden="false" customHeight="true" outlineLevel="0" collapsed="false">
      <c r="A1" s="4" t="s">
        <v>735</v>
      </c>
    </row>
    <row r="2" customFormat="false" ht="15" hidden="false" customHeight="true" outlineLevel="0" collapsed="false">
      <c r="A2" s="24" t="s">
        <v>736</v>
      </c>
      <c r="B2" s="24" t="s">
        <v>118</v>
      </c>
      <c r="C2" s="24" t="s">
        <v>137</v>
      </c>
      <c r="D2" s="24" t="s">
        <v>146</v>
      </c>
      <c r="E2" s="24" t="s">
        <v>155</v>
      </c>
      <c r="F2" s="24" t="s">
        <v>166</v>
      </c>
      <c r="G2" s="24" t="s">
        <v>174</v>
      </c>
      <c r="H2" s="24" t="s">
        <v>179</v>
      </c>
      <c r="I2" s="24" t="s">
        <v>187</v>
      </c>
    </row>
    <row r="3" customFormat="false" ht="15" hidden="false" customHeight="true" outlineLevel="0" collapsed="false">
      <c r="A3" s="24" t="s">
        <v>118</v>
      </c>
      <c r="B3" s="25" t="n">
        <f aca="false">IF(OR(Locations!$E$2="",Locations!$E$2="",Locations!$F$2="",Locations!$F$2=""),"n/a",ROUND(6371*2*ASIN(SQRT(SIN(RADIANS(Locations!$E$2-Locations!$E$2)/2)^2+COS(RADIANS(Locations!$E$2))*COS(RADIANS(Locations!$E$2))*SIN(RADIANS(Locations!$F$2-Locations!$F$2)/2)^2)),2))</f>
        <v>0</v>
      </c>
      <c r="C3" s="25" t="n">
        <f aca="false">IF(OR(Locations!$E$2="",Locations!$E$3="",Locations!$F$2="",Locations!$F$3=""),"n/a",ROUND(6371*2*ASIN(SQRT(SIN(RADIANS(Locations!$E$3-Locations!$E$2)/2)^2+COS(RADIANS(Locations!$E$2))*COS(RADIANS(Locations!$E$3))*SIN(RADIANS(Locations!$F$3-Locations!$F$2)/2)^2)),2))</f>
        <v>0.54</v>
      </c>
      <c r="D3" s="25" t="n">
        <f aca="false">IF(OR(Locations!$E$2="",Locations!$E$4="",Locations!$F$2="",Locations!$F$4=""),"n/a",ROUND(6371*2*ASIN(SQRT(SIN(RADIANS(Locations!$E$4-Locations!$E$2)/2)^2+COS(RADIANS(Locations!$E$2))*COS(RADIANS(Locations!$E$4))*SIN(RADIANS(Locations!$F$4-Locations!$F$2)/2)^2)),2))</f>
        <v>2.88</v>
      </c>
      <c r="E3" s="25" t="n">
        <f aca="false">IF(OR(Locations!$E$2="",Locations!$E$5="",Locations!$F$2="",Locations!$F$5=""),"n/a",ROUND(6371*2*ASIN(SQRT(SIN(RADIANS(Locations!$E$5-Locations!$E$2)/2)^2+COS(RADIANS(Locations!$E$2))*COS(RADIANS(Locations!$E$5))*SIN(RADIANS(Locations!$F$5-Locations!$F$2)/2)^2)),2))</f>
        <v>2.98</v>
      </c>
      <c r="F3" s="25" t="n">
        <f aca="false">IF(OR(Locations!$E$2="",Locations!$E$6="",Locations!$F$2="",Locations!$F$6=""),"n/a",ROUND(6371*2*ASIN(SQRT(SIN(RADIANS(Locations!$E$6-Locations!$E$2)/2)^2+COS(RADIANS(Locations!$E$2))*COS(RADIANS(Locations!$E$6))*SIN(RADIANS(Locations!$F$6-Locations!$F$2)/2)^2)),2))</f>
        <v>2.33</v>
      </c>
      <c r="G3" s="25" t="n">
        <f aca="false">IF(OR(Locations!$E$2="",Locations!$E$7="",Locations!$F$2="",Locations!$F$7=""),"n/a",ROUND(6371*2*ASIN(SQRT(SIN(RADIANS(Locations!$E$7-Locations!$E$2)/2)^2+COS(RADIANS(Locations!$E$2))*COS(RADIANS(Locations!$E$7))*SIN(RADIANS(Locations!$F$7-Locations!$F$2)/2)^2)),2))</f>
        <v>2.67</v>
      </c>
      <c r="H3" s="25" t="str">
        <f aca="false">IF(OR(Locations!$E$2="",Locations!$E$8="",Locations!$F$2="",Locations!$F$8=""),"n/a",ROUND(6371*2*ASIN(SQRT(SIN(RADIANS(Locations!$E$8-Locations!$E$2)/2)^2+COS(RADIANS(Locations!$E$2))*COS(RADIANS(Locations!$E$8))*SIN(RADIANS(Locations!$F$8-Locations!$F$2)/2)^2)),2))</f>
        <v>n/a</v>
      </c>
      <c r="I3" s="25" t="n">
        <f aca="false">IF(OR(Locations!$E$2="",Locations!$E$9="",Locations!$F$2="",Locations!$F$9=""),"n/a",ROUND(6371*2*ASIN(SQRT(SIN(RADIANS(Locations!$E$9-Locations!$E$2)/2)^2+COS(RADIANS(Locations!$E$2))*COS(RADIANS(Locations!$E$9))*SIN(RADIANS(Locations!$F$9-Locations!$F$2)/2)^2)),2))</f>
        <v>2.54</v>
      </c>
    </row>
    <row r="4" customFormat="false" ht="15" hidden="false" customHeight="true" outlineLevel="0" collapsed="false">
      <c r="A4" s="24" t="s">
        <v>137</v>
      </c>
      <c r="B4" s="25" t="n">
        <f aca="false">IF(OR(Locations!$E$3="",Locations!$E$2="",Locations!$F$3="",Locations!$F$2=""),"n/a",ROUND(6371*2*ASIN(SQRT(SIN(RADIANS(Locations!$E$2-Locations!$E$3)/2)^2+COS(RADIANS(Locations!$E$3))*COS(RADIANS(Locations!$E$2))*SIN(RADIANS(Locations!$F$2-Locations!$F$3)/2)^2)),2))</f>
        <v>0.54</v>
      </c>
      <c r="C4" s="25" t="n">
        <f aca="false">IF(OR(Locations!$E$3="",Locations!$E$3="",Locations!$F$3="",Locations!$F$3=""),"n/a",ROUND(6371*2*ASIN(SQRT(SIN(RADIANS(Locations!$E$3-Locations!$E$3)/2)^2+COS(RADIANS(Locations!$E$3))*COS(RADIANS(Locations!$E$3))*SIN(RADIANS(Locations!$F$3-Locations!$F$3)/2)^2)),2))</f>
        <v>0</v>
      </c>
      <c r="D4" s="25" t="n">
        <f aca="false">IF(OR(Locations!$E$3="",Locations!$E$4="",Locations!$F$3="",Locations!$F$4=""),"n/a",ROUND(6371*2*ASIN(SQRT(SIN(RADIANS(Locations!$E$4-Locations!$E$3)/2)^2+COS(RADIANS(Locations!$E$3))*COS(RADIANS(Locations!$E$4))*SIN(RADIANS(Locations!$F$4-Locations!$F$3)/2)^2)),2))</f>
        <v>2.75</v>
      </c>
      <c r="E4" s="25" t="n">
        <f aca="false">IF(OR(Locations!$E$3="",Locations!$E$5="",Locations!$F$3="",Locations!$F$5=""),"n/a",ROUND(6371*2*ASIN(SQRT(SIN(RADIANS(Locations!$E$5-Locations!$E$3)/2)^2+COS(RADIANS(Locations!$E$3))*COS(RADIANS(Locations!$E$5))*SIN(RADIANS(Locations!$F$5-Locations!$F$3)/2)^2)),2))</f>
        <v>2.96</v>
      </c>
      <c r="F4" s="25" t="n">
        <f aca="false">IF(OR(Locations!$E$3="",Locations!$E$6="",Locations!$F$3="",Locations!$F$6=""),"n/a",ROUND(6371*2*ASIN(SQRT(SIN(RADIANS(Locations!$E$6-Locations!$E$3)/2)^2+COS(RADIANS(Locations!$E$3))*COS(RADIANS(Locations!$E$6))*SIN(RADIANS(Locations!$F$6-Locations!$F$3)/2)^2)),2))</f>
        <v>2.58</v>
      </c>
      <c r="G4" s="25" t="n">
        <f aca="false">IF(OR(Locations!$E$3="",Locations!$E$7="",Locations!$F$3="",Locations!$F$7=""),"n/a",ROUND(6371*2*ASIN(SQRT(SIN(RADIANS(Locations!$E$7-Locations!$E$3)/2)^2+COS(RADIANS(Locations!$E$3))*COS(RADIANS(Locations!$E$7))*SIN(RADIANS(Locations!$F$7-Locations!$F$3)/2)^2)),2))</f>
        <v>3.02</v>
      </c>
      <c r="H4" s="25" t="str">
        <f aca="false">IF(OR(Locations!$E$3="",Locations!$E$8="",Locations!$F$3="",Locations!$F$8=""),"n/a",ROUND(6371*2*ASIN(SQRT(SIN(RADIANS(Locations!$E$8-Locations!$E$3)/2)^2+COS(RADIANS(Locations!$E$3))*COS(RADIANS(Locations!$E$8))*SIN(RADIANS(Locations!$F$8-Locations!$F$3)/2)^2)),2))</f>
        <v>n/a</v>
      </c>
      <c r="I4" s="25" t="n">
        <f aca="false">IF(OR(Locations!$E$3="",Locations!$E$9="",Locations!$F$3="",Locations!$F$9=""),"n/a",ROUND(6371*2*ASIN(SQRT(SIN(RADIANS(Locations!$E$9-Locations!$E$3)/2)^2+COS(RADIANS(Locations!$E$3))*COS(RADIANS(Locations!$E$9))*SIN(RADIANS(Locations!$F$9-Locations!$F$3)/2)^2)),2))</f>
        <v>2.18</v>
      </c>
    </row>
    <row r="5" customFormat="false" ht="15" hidden="false" customHeight="true" outlineLevel="0" collapsed="false">
      <c r="A5" s="24" t="s">
        <v>146</v>
      </c>
      <c r="B5" s="25" t="n">
        <f aca="false">IF(OR(Locations!$E$4="",Locations!$E$2="",Locations!$F$4="",Locations!$F$2=""),"n/a",ROUND(6371*2*ASIN(SQRT(SIN(RADIANS(Locations!$E$2-Locations!$E$4)/2)^2+COS(RADIANS(Locations!$E$4))*COS(RADIANS(Locations!$E$2))*SIN(RADIANS(Locations!$F$2-Locations!$F$4)/2)^2)),2))</f>
        <v>2.88</v>
      </c>
      <c r="C5" s="25" t="n">
        <f aca="false">IF(OR(Locations!$E$4="",Locations!$E$3="",Locations!$F$4="",Locations!$F$3=""),"n/a",ROUND(6371*2*ASIN(SQRT(SIN(RADIANS(Locations!$E$3-Locations!$E$4)/2)^2+COS(RADIANS(Locations!$E$4))*COS(RADIANS(Locations!$E$3))*SIN(RADIANS(Locations!$F$3-Locations!$F$4)/2)^2)),2))</f>
        <v>2.75</v>
      </c>
      <c r="D5" s="25" t="n">
        <f aca="false">IF(OR(Locations!$E$4="",Locations!$E$4="",Locations!$F$4="",Locations!$F$4=""),"n/a",ROUND(6371*2*ASIN(SQRT(SIN(RADIANS(Locations!$E$4-Locations!$E$4)/2)^2+COS(RADIANS(Locations!$E$4))*COS(RADIANS(Locations!$E$4))*SIN(RADIANS(Locations!$F$4-Locations!$F$4)/2)^2)),2))</f>
        <v>0</v>
      </c>
      <c r="E5" s="25" t="n">
        <f aca="false">IF(OR(Locations!$E$4="",Locations!$E$5="",Locations!$F$4="",Locations!$F$5=""),"n/a",ROUND(6371*2*ASIN(SQRT(SIN(RADIANS(Locations!$E$5-Locations!$E$4)/2)^2+COS(RADIANS(Locations!$E$4))*COS(RADIANS(Locations!$E$5))*SIN(RADIANS(Locations!$F$5-Locations!$F$4)/2)^2)),2))</f>
        <v>0.62</v>
      </c>
      <c r="F5" s="25" t="n">
        <f aca="false">IF(OR(Locations!$E$4="",Locations!$E$6="",Locations!$F$4="",Locations!$F$6=""),"n/a",ROUND(6371*2*ASIN(SQRT(SIN(RADIANS(Locations!$E$6-Locations!$E$4)/2)^2+COS(RADIANS(Locations!$E$4))*COS(RADIANS(Locations!$E$6))*SIN(RADIANS(Locations!$F$6-Locations!$F$4)/2)^2)),2))</f>
        <v>1.89</v>
      </c>
      <c r="G5" s="25" t="n">
        <f aca="false">IF(OR(Locations!$E$4="",Locations!$E$7="",Locations!$F$4="",Locations!$F$7=""),"n/a",ROUND(6371*2*ASIN(SQRT(SIN(RADIANS(Locations!$E$7-Locations!$E$4)/2)^2+COS(RADIANS(Locations!$E$4))*COS(RADIANS(Locations!$E$7))*SIN(RADIANS(Locations!$F$7-Locations!$F$4)/2)^2)),2))</f>
        <v>2.53</v>
      </c>
      <c r="H5" s="25" t="str">
        <f aca="false">IF(OR(Locations!$E$4="",Locations!$E$8="",Locations!$F$4="",Locations!$F$8=""),"n/a",ROUND(6371*2*ASIN(SQRT(SIN(RADIANS(Locations!$E$8-Locations!$E$4)/2)^2+COS(RADIANS(Locations!$E$4))*COS(RADIANS(Locations!$E$8))*SIN(RADIANS(Locations!$F$8-Locations!$F$4)/2)^2)),2))</f>
        <v>n/a</v>
      </c>
      <c r="I5" s="25" t="n">
        <f aca="false">IF(OR(Locations!$E$4="",Locations!$E$9="",Locations!$F$4="",Locations!$F$9=""),"n/a",ROUND(6371*2*ASIN(SQRT(SIN(RADIANS(Locations!$E$9-Locations!$E$4)/2)^2+COS(RADIANS(Locations!$E$4))*COS(RADIANS(Locations!$E$9))*SIN(RADIANS(Locations!$F$9-Locations!$F$4)/2)^2)),2))</f>
        <v>4.56</v>
      </c>
    </row>
    <row r="6" customFormat="false" ht="15" hidden="false" customHeight="true" outlineLevel="0" collapsed="false">
      <c r="A6" s="24" t="s">
        <v>155</v>
      </c>
      <c r="B6" s="25" t="n">
        <f aca="false">IF(OR(Locations!$E$5="",Locations!$E$2="",Locations!$F$5="",Locations!$F$2=""),"n/a",ROUND(6371*2*ASIN(SQRT(SIN(RADIANS(Locations!$E$2-Locations!$E$5)/2)^2+COS(RADIANS(Locations!$E$5))*COS(RADIANS(Locations!$E$2))*SIN(RADIANS(Locations!$F$2-Locations!$F$5)/2)^2)),2))</f>
        <v>2.98</v>
      </c>
      <c r="C6" s="25" t="n">
        <f aca="false">IF(OR(Locations!$E$5="",Locations!$E$3="",Locations!$F$5="",Locations!$F$3=""),"n/a",ROUND(6371*2*ASIN(SQRT(SIN(RADIANS(Locations!$E$3-Locations!$E$5)/2)^2+COS(RADIANS(Locations!$E$5))*COS(RADIANS(Locations!$E$3))*SIN(RADIANS(Locations!$F$3-Locations!$F$5)/2)^2)),2))</f>
        <v>2.96</v>
      </c>
      <c r="D6" s="25" t="n">
        <f aca="false">IF(OR(Locations!$E$5="",Locations!$E$4="",Locations!$F$5="",Locations!$F$4=""),"n/a",ROUND(6371*2*ASIN(SQRT(SIN(RADIANS(Locations!$E$4-Locations!$E$5)/2)^2+COS(RADIANS(Locations!$E$5))*COS(RADIANS(Locations!$E$4))*SIN(RADIANS(Locations!$F$4-Locations!$F$5)/2)^2)),2))</f>
        <v>0.62</v>
      </c>
      <c r="E6" s="25" t="n">
        <f aca="false">IF(OR(Locations!$E$5="",Locations!$E$5="",Locations!$F$5="",Locations!$F$5=""),"n/a",ROUND(6371*2*ASIN(SQRT(SIN(RADIANS(Locations!$E$5-Locations!$E$5)/2)^2+COS(RADIANS(Locations!$E$5))*COS(RADIANS(Locations!$E$5))*SIN(RADIANS(Locations!$F$5-Locations!$F$5)/2)^2)),2))</f>
        <v>0</v>
      </c>
      <c r="F6" s="25" t="n">
        <f aca="false">IF(OR(Locations!$E$5="",Locations!$E$6="",Locations!$F$5="",Locations!$F$6=""),"n/a",ROUND(6371*2*ASIN(SQRT(SIN(RADIANS(Locations!$E$6-Locations!$E$5)/2)^2+COS(RADIANS(Locations!$E$5))*COS(RADIANS(Locations!$E$6))*SIN(RADIANS(Locations!$F$6-Locations!$F$5)/2)^2)),2))</f>
        <v>1.46</v>
      </c>
      <c r="G6" s="25" t="n">
        <f aca="false">IF(OR(Locations!$E$5="",Locations!$E$7="",Locations!$F$5="",Locations!$F$7=""),"n/a",ROUND(6371*2*ASIN(SQRT(SIN(RADIANS(Locations!$E$7-Locations!$E$5)/2)^2+COS(RADIANS(Locations!$E$5))*COS(RADIANS(Locations!$E$7))*SIN(RADIANS(Locations!$F$7-Locations!$F$5)/2)^2)),2))</f>
        <v>2.05</v>
      </c>
      <c r="H6" s="25" t="str">
        <f aca="false">IF(OR(Locations!$E$5="",Locations!$E$8="",Locations!$F$5="",Locations!$F$8=""),"n/a",ROUND(6371*2*ASIN(SQRT(SIN(RADIANS(Locations!$E$8-Locations!$E$5)/2)^2+COS(RADIANS(Locations!$E$5))*COS(RADIANS(Locations!$E$8))*SIN(RADIANS(Locations!$F$8-Locations!$F$5)/2)^2)),2))</f>
        <v>n/a</v>
      </c>
      <c r="I6" s="25" t="n">
        <f aca="false">IF(OR(Locations!$E$5="",Locations!$E$9="",Locations!$F$5="",Locations!$F$9=""),"n/a",ROUND(6371*2*ASIN(SQRT(SIN(RADIANS(Locations!$E$9-Locations!$E$5)/2)^2+COS(RADIANS(Locations!$E$5))*COS(RADIANS(Locations!$E$9))*SIN(RADIANS(Locations!$F$9-Locations!$F$5)/2)^2)),2))</f>
        <v>4.93</v>
      </c>
    </row>
    <row r="7" customFormat="false" ht="15" hidden="false" customHeight="true" outlineLevel="0" collapsed="false">
      <c r="A7" s="24" t="s">
        <v>166</v>
      </c>
      <c r="B7" s="25" t="n">
        <f aca="false">IF(OR(Locations!$E$6="",Locations!$E$2="",Locations!$F$6="",Locations!$F$2=""),"n/a",ROUND(6371*2*ASIN(SQRT(SIN(RADIANS(Locations!$E$2-Locations!$E$6)/2)^2+COS(RADIANS(Locations!$E$6))*COS(RADIANS(Locations!$E$2))*SIN(RADIANS(Locations!$F$2-Locations!$F$6)/2)^2)),2))</f>
        <v>2.33</v>
      </c>
      <c r="C7" s="25" t="n">
        <f aca="false">IF(OR(Locations!$E$6="",Locations!$E$3="",Locations!$F$6="",Locations!$F$3=""),"n/a",ROUND(6371*2*ASIN(SQRT(SIN(RADIANS(Locations!$E$3-Locations!$E$6)/2)^2+COS(RADIANS(Locations!$E$6))*COS(RADIANS(Locations!$E$3))*SIN(RADIANS(Locations!$F$3-Locations!$F$6)/2)^2)),2))</f>
        <v>2.58</v>
      </c>
      <c r="D7" s="25" t="n">
        <f aca="false">IF(OR(Locations!$E$6="",Locations!$E$4="",Locations!$F$6="",Locations!$F$4=""),"n/a",ROUND(6371*2*ASIN(SQRT(SIN(RADIANS(Locations!$E$4-Locations!$E$6)/2)^2+COS(RADIANS(Locations!$E$6))*COS(RADIANS(Locations!$E$4))*SIN(RADIANS(Locations!$F$4-Locations!$F$6)/2)^2)),2))</f>
        <v>1.89</v>
      </c>
      <c r="E7" s="25" t="n">
        <f aca="false">IF(OR(Locations!$E$6="",Locations!$E$5="",Locations!$F$6="",Locations!$F$5=""),"n/a",ROUND(6371*2*ASIN(SQRT(SIN(RADIANS(Locations!$E$5-Locations!$E$6)/2)^2+COS(RADIANS(Locations!$E$6))*COS(RADIANS(Locations!$E$5))*SIN(RADIANS(Locations!$F$5-Locations!$F$6)/2)^2)),2))</f>
        <v>1.46</v>
      </c>
      <c r="F7" s="25" t="n">
        <f aca="false">IF(OR(Locations!$E$6="",Locations!$E$6="",Locations!$F$6="",Locations!$F$6=""),"n/a",ROUND(6371*2*ASIN(SQRT(SIN(RADIANS(Locations!$E$6-Locations!$E$6)/2)^2+COS(RADIANS(Locations!$E$6))*COS(RADIANS(Locations!$E$6))*SIN(RADIANS(Locations!$F$6-Locations!$F$6)/2)^2)),2))</f>
        <v>0</v>
      </c>
      <c r="G7" s="25" t="n">
        <f aca="false">IF(OR(Locations!$E$6="",Locations!$E$7="",Locations!$F$6="",Locations!$F$7=""),"n/a",ROUND(6371*2*ASIN(SQRT(SIN(RADIANS(Locations!$E$7-Locations!$E$6)/2)^2+COS(RADIANS(Locations!$E$6))*COS(RADIANS(Locations!$E$7))*SIN(RADIANS(Locations!$F$7-Locations!$F$6)/2)^2)),2))</f>
        <v>0.67</v>
      </c>
      <c r="H7" s="25" t="str">
        <f aca="false">IF(OR(Locations!$E$6="",Locations!$E$8="",Locations!$F$6="",Locations!$F$8=""),"n/a",ROUND(6371*2*ASIN(SQRT(SIN(RADIANS(Locations!$E$8-Locations!$E$6)/2)^2+COS(RADIANS(Locations!$E$6))*COS(RADIANS(Locations!$E$8))*SIN(RADIANS(Locations!$F$8-Locations!$F$6)/2)^2)),2))</f>
        <v>n/a</v>
      </c>
      <c r="I7" s="25" t="n">
        <f aca="false">IF(OR(Locations!$E$6="",Locations!$E$9="",Locations!$F$6="",Locations!$F$9=""),"n/a",ROUND(6371*2*ASIN(SQRT(SIN(RADIANS(Locations!$E$9-Locations!$E$6)/2)^2+COS(RADIANS(Locations!$E$6))*COS(RADIANS(Locations!$E$9))*SIN(RADIANS(Locations!$F$9-Locations!$F$6)/2)^2)),2))</f>
        <v>4.76</v>
      </c>
    </row>
    <row r="8" customFormat="false" ht="15" hidden="false" customHeight="true" outlineLevel="0" collapsed="false">
      <c r="A8" s="24" t="s">
        <v>174</v>
      </c>
      <c r="B8" s="25" t="n">
        <f aca="false">IF(OR(Locations!$E$7="",Locations!$E$2="",Locations!$F$7="",Locations!$F$2=""),"n/a",ROUND(6371*2*ASIN(SQRT(SIN(RADIANS(Locations!$E$2-Locations!$E$7)/2)^2+COS(RADIANS(Locations!$E$7))*COS(RADIANS(Locations!$E$2))*SIN(RADIANS(Locations!$F$2-Locations!$F$7)/2)^2)),2))</f>
        <v>2.67</v>
      </c>
      <c r="C8" s="25" t="n">
        <f aca="false">IF(OR(Locations!$E$7="",Locations!$E$3="",Locations!$F$7="",Locations!$F$3=""),"n/a",ROUND(6371*2*ASIN(SQRT(SIN(RADIANS(Locations!$E$3-Locations!$E$7)/2)^2+COS(RADIANS(Locations!$E$7))*COS(RADIANS(Locations!$E$3))*SIN(RADIANS(Locations!$F$3-Locations!$F$7)/2)^2)),2))</f>
        <v>3.02</v>
      </c>
      <c r="D8" s="25" t="n">
        <f aca="false">IF(OR(Locations!$E$7="",Locations!$E$4="",Locations!$F$7="",Locations!$F$4=""),"n/a",ROUND(6371*2*ASIN(SQRT(SIN(RADIANS(Locations!$E$4-Locations!$E$7)/2)^2+COS(RADIANS(Locations!$E$7))*COS(RADIANS(Locations!$E$4))*SIN(RADIANS(Locations!$F$4-Locations!$F$7)/2)^2)),2))</f>
        <v>2.53</v>
      </c>
      <c r="E8" s="25" t="n">
        <f aca="false">IF(OR(Locations!$E$7="",Locations!$E$5="",Locations!$F$7="",Locations!$F$5=""),"n/a",ROUND(6371*2*ASIN(SQRT(SIN(RADIANS(Locations!$E$5-Locations!$E$7)/2)^2+COS(RADIANS(Locations!$E$7))*COS(RADIANS(Locations!$E$5))*SIN(RADIANS(Locations!$F$5-Locations!$F$7)/2)^2)),2))</f>
        <v>2.05</v>
      </c>
      <c r="F8" s="25" t="n">
        <f aca="false">IF(OR(Locations!$E$7="",Locations!$E$6="",Locations!$F$7="",Locations!$F$6=""),"n/a",ROUND(6371*2*ASIN(SQRT(SIN(RADIANS(Locations!$E$6-Locations!$E$7)/2)^2+COS(RADIANS(Locations!$E$7))*COS(RADIANS(Locations!$E$6))*SIN(RADIANS(Locations!$F$6-Locations!$F$7)/2)^2)),2))</f>
        <v>0.67</v>
      </c>
      <c r="G8" s="25" t="n">
        <f aca="false">IF(OR(Locations!$E$7="",Locations!$E$7="",Locations!$F$7="",Locations!$F$7=""),"n/a",ROUND(6371*2*ASIN(SQRT(SIN(RADIANS(Locations!$E$7-Locations!$E$7)/2)^2+COS(RADIANS(Locations!$E$7))*COS(RADIANS(Locations!$E$7))*SIN(RADIANS(Locations!$F$7-Locations!$F$7)/2)^2)),2))</f>
        <v>0</v>
      </c>
      <c r="H8" s="25" t="str">
        <f aca="false">IF(OR(Locations!$E$7="",Locations!$E$8="",Locations!$F$7="",Locations!$F$8=""),"n/a",ROUND(6371*2*ASIN(SQRT(SIN(RADIANS(Locations!$E$8-Locations!$E$7)/2)^2+COS(RADIANS(Locations!$E$7))*COS(RADIANS(Locations!$E$8))*SIN(RADIANS(Locations!$F$8-Locations!$F$7)/2)^2)),2))</f>
        <v>n/a</v>
      </c>
      <c r="I8" s="25" t="n">
        <f aca="false">IF(OR(Locations!$E$7="",Locations!$E$9="",Locations!$F$7="",Locations!$F$9=""),"n/a",ROUND(6371*2*ASIN(SQRT(SIN(RADIANS(Locations!$E$9-Locations!$E$7)/2)^2+COS(RADIANS(Locations!$E$7))*COS(RADIANS(Locations!$E$9))*SIN(RADIANS(Locations!$F$9-Locations!$F$7)/2)^2)),2))</f>
        <v>5.18</v>
      </c>
    </row>
    <row r="9" customFormat="false" ht="15" hidden="false" customHeight="true" outlineLevel="0" collapsed="false">
      <c r="A9" s="24" t="s">
        <v>179</v>
      </c>
      <c r="B9" s="25" t="str">
        <f aca="false">IF(OR(Locations!$E$8="",Locations!$E$2="",Locations!$F$8="",Locations!$F$2=""),"n/a",ROUND(6371*2*ASIN(SQRT(SIN(RADIANS(Locations!$E$2-Locations!$E$8)/2)^2+COS(RADIANS(Locations!$E$8))*COS(RADIANS(Locations!$E$2))*SIN(RADIANS(Locations!$F$2-Locations!$F$8)/2)^2)),2))</f>
        <v>n/a</v>
      </c>
      <c r="C9" s="25" t="str">
        <f aca="false">IF(OR(Locations!$E$8="",Locations!$E$3="",Locations!$F$8="",Locations!$F$3=""),"n/a",ROUND(6371*2*ASIN(SQRT(SIN(RADIANS(Locations!$E$3-Locations!$E$8)/2)^2+COS(RADIANS(Locations!$E$8))*COS(RADIANS(Locations!$E$3))*SIN(RADIANS(Locations!$F$3-Locations!$F$8)/2)^2)),2))</f>
        <v>n/a</v>
      </c>
      <c r="D9" s="25" t="str">
        <f aca="false">IF(OR(Locations!$E$8="",Locations!$E$4="",Locations!$F$8="",Locations!$F$4=""),"n/a",ROUND(6371*2*ASIN(SQRT(SIN(RADIANS(Locations!$E$4-Locations!$E$8)/2)^2+COS(RADIANS(Locations!$E$8))*COS(RADIANS(Locations!$E$4))*SIN(RADIANS(Locations!$F$4-Locations!$F$8)/2)^2)),2))</f>
        <v>n/a</v>
      </c>
      <c r="E9" s="25" t="str">
        <f aca="false">IF(OR(Locations!$E$8="",Locations!$E$5="",Locations!$F$8="",Locations!$F$5=""),"n/a",ROUND(6371*2*ASIN(SQRT(SIN(RADIANS(Locations!$E$5-Locations!$E$8)/2)^2+COS(RADIANS(Locations!$E$8))*COS(RADIANS(Locations!$E$5))*SIN(RADIANS(Locations!$F$5-Locations!$F$8)/2)^2)),2))</f>
        <v>n/a</v>
      </c>
      <c r="F9" s="25" t="str">
        <f aca="false">IF(OR(Locations!$E$8="",Locations!$E$6="",Locations!$F$8="",Locations!$F$6=""),"n/a",ROUND(6371*2*ASIN(SQRT(SIN(RADIANS(Locations!$E$6-Locations!$E$8)/2)^2+COS(RADIANS(Locations!$E$8))*COS(RADIANS(Locations!$E$6))*SIN(RADIANS(Locations!$F$6-Locations!$F$8)/2)^2)),2))</f>
        <v>n/a</v>
      </c>
      <c r="G9" s="25" t="str">
        <f aca="false">IF(OR(Locations!$E$8="",Locations!$E$7="",Locations!$F$8="",Locations!$F$7=""),"n/a",ROUND(6371*2*ASIN(SQRT(SIN(RADIANS(Locations!$E$7-Locations!$E$8)/2)^2+COS(RADIANS(Locations!$E$8))*COS(RADIANS(Locations!$E$7))*SIN(RADIANS(Locations!$F$7-Locations!$F$8)/2)^2)),2))</f>
        <v>n/a</v>
      </c>
      <c r="H9" s="25" t="str">
        <f aca="false">IF(OR(Locations!$E$8="",Locations!$E$8="",Locations!$F$8="",Locations!$F$8=""),"n/a",ROUND(6371*2*ASIN(SQRT(SIN(RADIANS(Locations!$E$8-Locations!$E$8)/2)^2+COS(RADIANS(Locations!$E$8))*COS(RADIANS(Locations!$E$8))*SIN(RADIANS(Locations!$F$8-Locations!$F$8)/2)^2)),2))</f>
        <v>n/a</v>
      </c>
      <c r="I9" s="25" t="str">
        <f aca="false">IF(OR(Locations!$E$8="",Locations!$E$9="",Locations!$F$8="",Locations!$F$9=""),"n/a",ROUND(6371*2*ASIN(SQRT(SIN(RADIANS(Locations!$E$9-Locations!$E$8)/2)^2+COS(RADIANS(Locations!$E$8))*COS(RADIANS(Locations!$E$9))*SIN(RADIANS(Locations!$F$9-Locations!$F$8)/2)^2)),2))</f>
        <v>n/a</v>
      </c>
    </row>
    <row r="10" customFormat="false" ht="15" hidden="false" customHeight="true" outlineLevel="0" collapsed="false">
      <c r="A10" s="24" t="s">
        <v>187</v>
      </c>
      <c r="B10" s="25" t="n">
        <f aca="false">IF(OR(Locations!$E$9="",Locations!$E$2="",Locations!$F$9="",Locations!$F$2=""),"n/a",ROUND(6371*2*ASIN(SQRT(SIN(RADIANS(Locations!$E$2-Locations!$E$9)/2)^2+COS(RADIANS(Locations!$E$9))*COS(RADIANS(Locations!$E$2))*SIN(RADIANS(Locations!$F$2-Locations!$F$9)/2)^2)),2))</f>
        <v>2.54</v>
      </c>
      <c r="C10" s="25" t="n">
        <f aca="false">IF(OR(Locations!$E$9="",Locations!$E$3="",Locations!$F$9="",Locations!$F$3=""),"n/a",ROUND(6371*2*ASIN(SQRT(SIN(RADIANS(Locations!$E$3-Locations!$E$9)/2)^2+COS(RADIANS(Locations!$E$9))*COS(RADIANS(Locations!$E$3))*SIN(RADIANS(Locations!$F$3-Locations!$F$9)/2)^2)),2))</f>
        <v>2.18</v>
      </c>
      <c r="D10" s="25" t="n">
        <f aca="false">IF(OR(Locations!$E$9="",Locations!$E$4="",Locations!$F$9="",Locations!$F$4=""),"n/a",ROUND(6371*2*ASIN(SQRT(SIN(RADIANS(Locations!$E$4-Locations!$E$9)/2)^2+COS(RADIANS(Locations!$E$9))*COS(RADIANS(Locations!$E$4))*SIN(RADIANS(Locations!$F$4-Locations!$F$9)/2)^2)),2))</f>
        <v>4.56</v>
      </c>
      <c r="E10" s="25" t="n">
        <f aca="false">IF(OR(Locations!$E$9="",Locations!$E$5="",Locations!$F$9="",Locations!$F$5=""),"n/a",ROUND(6371*2*ASIN(SQRT(SIN(RADIANS(Locations!$E$5-Locations!$E$9)/2)^2+COS(RADIANS(Locations!$E$9))*COS(RADIANS(Locations!$E$5))*SIN(RADIANS(Locations!$F$5-Locations!$F$9)/2)^2)),2))</f>
        <v>4.93</v>
      </c>
      <c r="F10" s="25" t="n">
        <f aca="false">IF(OR(Locations!$E$9="",Locations!$E$6="",Locations!$F$9="",Locations!$F$6=""),"n/a",ROUND(6371*2*ASIN(SQRT(SIN(RADIANS(Locations!$E$6-Locations!$E$9)/2)^2+COS(RADIANS(Locations!$E$9))*COS(RADIANS(Locations!$E$6))*SIN(RADIANS(Locations!$F$6-Locations!$F$9)/2)^2)),2))</f>
        <v>4.76</v>
      </c>
      <c r="G10" s="25" t="n">
        <f aca="false">IF(OR(Locations!$E$9="",Locations!$E$7="",Locations!$F$9="",Locations!$F$7=""),"n/a",ROUND(6371*2*ASIN(SQRT(SIN(RADIANS(Locations!$E$7-Locations!$E$9)/2)^2+COS(RADIANS(Locations!$E$9))*COS(RADIANS(Locations!$E$7))*SIN(RADIANS(Locations!$F$7-Locations!$F$9)/2)^2)),2))</f>
        <v>5.18</v>
      </c>
      <c r="H10" s="25" t="str">
        <f aca="false">IF(OR(Locations!$E$9="",Locations!$E$8="",Locations!$F$9="",Locations!$F$8=""),"n/a",ROUND(6371*2*ASIN(SQRT(SIN(RADIANS(Locations!$E$8-Locations!$E$9)/2)^2+COS(RADIANS(Locations!$E$9))*COS(RADIANS(Locations!$E$8))*SIN(RADIANS(Locations!$F$8-Locations!$F$9)/2)^2)),2))</f>
        <v>n/a</v>
      </c>
      <c r="I10" s="25" t="n">
        <f aca="false">IF(OR(Locations!$E$9="",Locations!$E$9="",Locations!$F$9="",Locations!$F$9=""),"n/a",ROUND(6371*2*ASIN(SQRT(SIN(RADIANS(Locations!$E$9-Locations!$E$9)/2)^2+COS(RADIANS(Locations!$E$9))*COS(RADIANS(Locations!$E$9))*SIN(RADIANS(Locations!$F$9-Locations!$F$9)/2)^2)),2))</f>
        <v>0</v>
      </c>
    </row>
    <row r="12" customFormat="false" ht="15" hidden="false" customHeight="true" outlineLevel="0" collapsed="false">
      <c r="A12" s="4" t="s">
        <v>737</v>
      </c>
    </row>
    <row r="13" customFormat="false" ht="15" hidden="false" customHeight="true" outlineLevel="0" collapsed="false">
      <c r="A13" s="24" t="s">
        <v>736</v>
      </c>
      <c r="B13" s="24" t="s">
        <v>118</v>
      </c>
      <c r="C13" s="24" t="s">
        <v>137</v>
      </c>
      <c r="D13" s="24" t="s">
        <v>146</v>
      </c>
      <c r="E13" s="24" t="s">
        <v>155</v>
      </c>
      <c r="F13" s="24" t="s">
        <v>166</v>
      </c>
      <c r="G13" s="24" t="s">
        <v>174</v>
      </c>
      <c r="H13" s="24" t="s">
        <v>179</v>
      </c>
      <c r="I13" s="24" t="s">
        <v>187</v>
      </c>
    </row>
    <row r="14" customFormat="false" ht="15" hidden="false" customHeight="true" outlineLevel="0" collapsed="false">
      <c r="A14" s="24" t="s">
        <v>118</v>
      </c>
      <c r="B14" s="26" t="n">
        <f aca="false">IF(ISNUMBER(B3),ROUND(B3*Config!$B$10/Config!$B$9*60,0),"n/a")</f>
        <v>0</v>
      </c>
      <c r="C14" s="26" t="n">
        <f aca="false">IF(ISNUMBER(C3),ROUND(C3*Config!$B$10/Config!$B$9*60,0),"n/a")</f>
        <v>9</v>
      </c>
      <c r="D14" s="26" t="n">
        <f aca="false">IF(ISNUMBER(D3),ROUND(D3*Config!$B$10/Config!$B$9*60,0),"n/a")</f>
        <v>47</v>
      </c>
      <c r="E14" s="26" t="n">
        <f aca="false">IF(ISNUMBER(E3),ROUND(E3*Config!$B$10/Config!$B$9*60,0),"n/a")</f>
        <v>48</v>
      </c>
      <c r="F14" s="26" t="n">
        <f aca="false">IF(ISNUMBER(F3),ROUND(F3*Config!$B$10/Config!$B$9*60,0),"n/a")</f>
        <v>38</v>
      </c>
      <c r="G14" s="26" t="n">
        <f aca="false">IF(ISNUMBER(G3),ROUND(G3*Config!$B$10/Config!$B$9*60,0),"n/a")</f>
        <v>43</v>
      </c>
      <c r="H14" s="26" t="str">
        <f aca="false">IF(ISNUMBER(H3),ROUND(H3*Config!$B$10/Config!$B$9*60,0),"n/a")</f>
        <v>n/a</v>
      </c>
      <c r="I14" s="26" t="n">
        <f aca="false">IF(ISNUMBER(I3),ROUND(I3*Config!$B$10/Config!$B$9*60,0),"n/a")</f>
        <v>41</v>
      </c>
    </row>
    <row r="15" customFormat="false" ht="15" hidden="false" customHeight="true" outlineLevel="0" collapsed="false">
      <c r="A15" s="24" t="s">
        <v>137</v>
      </c>
      <c r="B15" s="26" t="n">
        <f aca="false">IF(ISNUMBER(B4),ROUND(B4*Config!$B$10/Config!$B$9*60,0),"n/a")</f>
        <v>9</v>
      </c>
      <c r="C15" s="26" t="n">
        <f aca="false">IF(ISNUMBER(C4),ROUND(C4*Config!$B$10/Config!$B$9*60,0),"n/a")</f>
        <v>0</v>
      </c>
      <c r="D15" s="26" t="n">
        <f aca="false">IF(ISNUMBER(D4),ROUND(D4*Config!$B$10/Config!$B$9*60,0),"n/a")</f>
        <v>45</v>
      </c>
      <c r="E15" s="26" t="n">
        <f aca="false">IF(ISNUMBER(E4),ROUND(E4*Config!$B$10/Config!$B$9*60,0),"n/a")</f>
        <v>48</v>
      </c>
      <c r="F15" s="26" t="n">
        <f aca="false">IF(ISNUMBER(F4),ROUND(F4*Config!$B$10/Config!$B$9*60,0),"n/a")</f>
        <v>42</v>
      </c>
      <c r="G15" s="26" t="n">
        <f aca="false">IF(ISNUMBER(G4),ROUND(G4*Config!$B$10/Config!$B$9*60,0),"n/a")</f>
        <v>49</v>
      </c>
      <c r="H15" s="26" t="str">
        <f aca="false">IF(ISNUMBER(H4),ROUND(H4*Config!$B$10/Config!$B$9*60,0),"n/a")</f>
        <v>n/a</v>
      </c>
      <c r="I15" s="26" t="n">
        <f aca="false">IF(ISNUMBER(I4),ROUND(I4*Config!$B$10/Config!$B$9*60,0),"n/a")</f>
        <v>35</v>
      </c>
    </row>
    <row r="16" customFormat="false" ht="15" hidden="false" customHeight="true" outlineLevel="0" collapsed="false">
      <c r="A16" s="24" t="s">
        <v>146</v>
      </c>
      <c r="B16" s="26" t="n">
        <f aca="false">IF(ISNUMBER(B5),ROUND(B5*Config!$B$10/Config!$B$9*60,0),"n/a")</f>
        <v>47</v>
      </c>
      <c r="C16" s="26" t="n">
        <f aca="false">IF(ISNUMBER(C5),ROUND(C5*Config!$B$10/Config!$B$9*60,0),"n/a")</f>
        <v>45</v>
      </c>
      <c r="D16" s="26" t="n">
        <f aca="false">IF(ISNUMBER(D5),ROUND(D5*Config!$B$10/Config!$B$9*60,0),"n/a")</f>
        <v>0</v>
      </c>
      <c r="E16" s="26" t="n">
        <f aca="false">IF(ISNUMBER(E5),ROUND(E5*Config!$B$10/Config!$B$9*60,0),"n/a")</f>
        <v>10</v>
      </c>
      <c r="F16" s="26" t="n">
        <f aca="false">IF(ISNUMBER(F5),ROUND(F5*Config!$B$10/Config!$B$9*60,0),"n/a")</f>
        <v>31</v>
      </c>
      <c r="G16" s="26" t="n">
        <f aca="false">IF(ISNUMBER(G5),ROUND(G5*Config!$B$10/Config!$B$9*60,0),"n/a")</f>
        <v>41</v>
      </c>
      <c r="H16" s="26" t="str">
        <f aca="false">IF(ISNUMBER(H5),ROUND(H5*Config!$B$10/Config!$B$9*60,0),"n/a")</f>
        <v>n/a</v>
      </c>
      <c r="I16" s="26" t="n">
        <f aca="false">IF(ISNUMBER(I5),ROUND(I5*Config!$B$10/Config!$B$9*60,0),"n/a")</f>
        <v>74</v>
      </c>
    </row>
    <row r="17" customFormat="false" ht="15" hidden="false" customHeight="true" outlineLevel="0" collapsed="false">
      <c r="A17" s="24" t="s">
        <v>155</v>
      </c>
      <c r="B17" s="26" t="n">
        <f aca="false">IF(ISNUMBER(B6),ROUND(B6*Config!$B$10/Config!$B$9*60,0),"n/a")</f>
        <v>48</v>
      </c>
      <c r="C17" s="26" t="n">
        <f aca="false">IF(ISNUMBER(C6),ROUND(C6*Config!$B$10/Config!$B$9*60,0),"n/a")</f>
        <v>48</v>
      </c>
      <c r="D17" s="26" t="n">
        <f aca="false">IF(ISNUMBER(D6),ROUND(D6*Config!$B$10/Config!$B$9*60,0),"n/a")</f>
        <v>10</v>
      </c>
      <c r="E17" s="26" t="n">
        <f aca="false">IF(ISNUMBER(E6),ROUND(E6*Config!$B$10/Config!$B$9*60,0),"n/a")</f>
        <v>0</v>
      </c>
      <c r="F17" s="26" t="n">
        <f aca="false">IF(ISNUMBER(F6),ROUND(F6*Config!$B$10/Config!$B$9*60,0),"n/a")</f>
        <v>24</v>
      </c>
      <c r="G17" s="26" t="n">
        <f aca="false">IF(ISNUMBER(G6),ROUND(G6*Config!$B$10/Config!$B$9*60,0),"n/a")</f>
        <v>33</v>
      </c>
      <c r="H17" s="26" t="str">
        <f aca="false">IF(ISNUMBER(H6),ROUND(H6*Config!$B$10/Config!$B$9*60,0),"n/a")</f>
        <v>n/a</v>
      </c>
      <c r="I17" s="26" t="n">
        <f aca="false">IF(ISNUMBER(I6),ROUND(I6*Config!$B$10/Config!$B$9*60,0),"n/a")</f>
        <v>80</v>
      </c>
    </row>
    <row r="18" customFormat="false" ht="15" hidden="false" customHeight="true" outlineLevel="0" collapsed="false">
      <c r="A18" s="24" t="s">
        <v>166</v>
      </c>
      <c r="B18" s="26" t="n">
        <f aca="false">IF(ISNUMBER(B7),ROUND(B7*Config!$B$10/Config!$B$9*60,0),"n/a")</f>
        <v>38</v>
      </c>
      <c r="C18" s="26" t="n">
        <f aca="false">IF(ISNUMBER(C7),ROUND(C7*Config!$B$10/Config!$B$9*60,0),"n/a")</f>
        <v>42</v>
      </c>
      <c r="D18" s="26" t="n">
        <f aca="false">IF(ISNUMBER(D7),ROUND(D7*Config!$B$10/Config!$B$9*60,0),"n/a")</f>
        <v>31</v>
      </c>
      <c r="E18" s="26" t="n">
        <f aca="false">IF(ISNUMBER(E7),ROUND(E7*Config!$B$10/Config!$B$9*60,0),"n/a")</f>
        <v>24</v>
      </c>
      <c r="F18" s="26" t="n">
        <f aca="false">IF(ISNUMBER(F7),ROUND(F7*Config!$B$10/Config!$B$9*60,0),"n/a")</f>
        <v>0</v>
      </c>
      <c r="G18" s="26" t="n">
        <f aca="false">IF(ISNUMBER(G7),ROUND(G7*Config!$B$10/Config!$B$9*60,0),"n/a")</f>
        <v>11</v>
      </c>
      <c r="H18" s="26" t="str">
        <f aca="false">IF(ISNUMBER(H7),ROUND(H7*Config!$B$10/Config!$B$9*60,0),"n/a")</f>
        <v>n/a</v>
      </c>
      <c r="I18" s="26" t="n">
        <f aca="false">IF(ISNUMBER(I7),ROUND(I7*Config!$B$10/Config!$B$9*60,0),"n/a")</f>
        <v>77</v>
      </c>
    </row>
    <row r="19" customFormat="false" ht="15" hidden="false" customHeight="true" outlineLevel="0" collapsed="false">
      <c r="A19" s="24" t="s">
        <v>174</v>
      </c>
      <c r="B19" s="26" t="n">
        <f aca="false">IF(ISNUMBER(B8),ROUND(B8*Config!$B$10/Config!$B$9*60,0),"n/a")</f>
        <v>43</v>
      </c>
      <c r="C19" s="26" t="n">
        <f aca="false">IF(ISNUMBER(C8),ROUND(C8*Config!$B$10/Config!$B$9*60,0),"n/a")</f>
        <v>49</v>
      </c>
      <c r="D19" s="26" t="n">
        <f aca="false">IF(ISNUMBER(D8),ROUND(D8*Config!$B$10/Config!$B$9*60,0),"n/a")</f>
        <v>41</v>
      </c>
      <c r="E19" s="26" t="n">
        <f aca="false">IF(ISNUMBER(E8),ROUND(E8*Config!$B$10/Config!$B$9*60,0),"n/a")</f>
        <v>33</v>
      </c>
      <c r="F19" s="26" t="n">
        <f aca="false">IF(ISNUMBER(F8),ROUND(F8*Config!$B$10/Config!$B$9*60,0),"n/a")</f>
        <v>11</v>
      </c>
      <c r="G19" s="26" t="n">
        <f aca="false">IF(ISNUMBER(G8),ROUND(G8*Config!$B$10/Config!$B$9*60,0),"n/a")</f>
        <v>0</v>
      </c>
      <c r="H19" s="26" t="str">
        <f aca="false">IF(ISNUMBER(H8),ROUND(H8*Config!$B$10/Config!$B$9*60,0),"n/a")</f>
        <v>n/a</v>
      </c>
      <c r="I19" s="26" t="n">
        <f aca="false">IF(ISNUMBER(I8),ROUND(I8*Config!$B$10/Config!$B$9*60,0),"n/a")</f>
        <v>84</v>
      </c>
    </row>
    <row r="20" customFormat="false" ht="15" hidden="false" customHeight="true" outlineLevel="0" collapsed="false">
      <c r="A20" s="24" t="s">
        <v>179</v>
      </c>
      <c r="B20" s="26" t="str">
        <f aca="false">IF(ISNUMBER(B9),ROUND(B9*Config!$B$10/Config!$B$9*60,0),"n/a")</f>
        <v>n/a</v>
      </c>
      <c r="C20" s="26" t="str">
        <f aca="false">IF(ISNUMBER(C9),ROUND(C9*Config!$B$10/Config!$B$9*60,0),"n/a")</f>
        <v>n/a</v>
      </c>
      <c r="D20" s="26" t="str">
        <f aca="false">IF(ISNUMBER(D9),ROUND(D9*Config!$B$10/Config!$B$9*60,0),"n/a")</f>
        <v>n/a</v>
      </c>
      <c r="E20" s="26" t="str">
        <f aca="false">IF(ISNUMBER(E9),ROUND(E9*Config!$B$10/Config!$B$9*60,0),"n/a")</f>
        <v>n/a</v>
      </c>
      <c r="F20" s="26" t="str">
        <f aca="false">IF(ISNUMBER(F9),ROUND(F9*Config!$B$10/Config!$B$9*60,0),"n/a")</f>
        <v>n/a</v>
      </c>
      <c r="G20" s="26" t="str">
        <f aca="false">IF(ISNUMBER(G9),ROUND(G9*Config!$B$10/Config!$B$9*60,0),"n/a")</f>
        <v>n/a</v>
      </c>
      <c r="H20" s="26" t="str">
        <f aca="false">IF(ISNUMBER(H9),ROUND(H9*Config!$B$10/Config!$B$9*60,0),"n/a")</f>
        <v>n/a</v>
      </c>
      <c r="I20" s="26" t="str">
        <f aca="false">IF(ISNUMBER(I9),ROUND(I9*Config!$B$10/Config!$B$9*60,0),"n/a")</f>
        <v>n/a</v>
      </c>
    </row>
    <row r="21" customFormat="false" ht="15" hidden="false" customHeight="true" outlineLevel="0" collapsed="false">
      <c r="A21" s="24" t="s">
        <v>187</v>
      </c>
      <c r="B21" s="26" t="n">
        <f aca="false">IF(ISNUMBER(B10),ROUND(B10*Config!$B$10/Config!$B$9*60,0),"n/a")</f>
        <v>41</v>
      </c>
      <c r="C21" s="26" t="n">
        <f aca="false">IF(ISNUMBER(C10),ROUND(C10*Config!$B$10/Config!$B$9*60,0),"n/a")</f>
        <v>35</v>
      </c>
      <c r="D21" s="26" t="n">
        <f aca="false">IF(ISNUMBER(D10),ROUND(D10*Config!$B$10/Config!$B$9*60,0),"n/a")</f>
        <v>74</v>
      </c>
      <c r="E21" s="26" t="n">
        <f aca="false">IF(ISNUMBER(E10),ROUND(E10*Config!$B$10/Config!$B$9*60,0),"n/a")</f>
        <v>80</v>
      </c>
      <c r="F21" s="26" t="n">
        <f aca="false">IF(ISNUMBER(F10),ROUND(F10*Config!$B$10/Config!$B$9*60,0),"n/a")</f>
        <v>77</v>
      </c>
      <c r="G21" s="26" t="n">
        <f aca="false">IF(ISNUMBER(G10),ROUND(G10*Config!$B$10/Config!$B$9*60,0),"n/a")</f>
        <v>84</v>
      </c>
      <c r="H21" s="26" t="str">
        <f aca="false">IF(ISNUMBER(H10),ROUND(H10*Config!$B$10/Config!$B$9*60,0),"n/a")</f>
        <v>n/a</v>
      </c>
      <c r="I21" s="26" t="n">
        <f aca="false">IF(ISNUMBER(I10),ROUND(I10*Config!$B$10/Config!$B$9*60,0),"n/a")</f>
        <v>0</v>
      </c>
    </row>
    <row r="23" customFormat="false" ht="15" hidden="false" customHeight="true" outlineLevel="0" collapsed="false">
      <c r="A23" s="3" t="s">
        <v>738</v>
      </c>
    </row>
  </sheetData>
  <conditionalFormatting sqref="B14:I21">
    <cfRule type="expression" priority="2" aboveAverage="0" equalAverage="0" bottom="0" percent="0" rank="0" text="" dxfId="15">
      <formula>AND(ISNUMBER(B14),B14&gt;30)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5" min="2" style="1" width="14"/>
    <col collapsed="false" customWidth="true" hidden="false" outlineLevel="0" max="6" min="6" style="1" width="22"/>
    <col collapsed="false" customWidth="true" hidden="false" outlineLevel="0" max="7" min="7" style="1" width="20"/>
  </cols>
  <sheetData>
    <row r="1" customFormat="false" ht="15" hidden="false" customHeight="true" outlineLevel="0" collapsed="false">
      <c r="A1" s="4" t="s">
        <v>739</v>
      </c>
    </row>
    <row r="3" customFormat="false" ht="15" hidden="false" customHeight="true" outlineLevel="0" collapsed="false">
      <c r="A3" s="27" t="s">
        <v>93</v>
      </c>
      <c r="B3" s="27" t="s">
        <v>392</v>
      </c>
      <c r="C3" s="27" t="s">
        <v>404</v>
      </c>
      <c r="D3" s="27" t="s">
        <v>396</v>
      </c>
      <c r="E3" s="27" t="s">
        <v>413</v>
      </c>
      <c r="F3" s="27" t="s">
        <v>466</v>
      </c>
      <c r="G3" s="27" t="s">
        <v>740</v>
      </c>
      <c r="I3" s="13" t="s">
        <v>741</v>
      </c>
    </row>
    <row r="4" customFormat="false" ht="15" hidden="false" customHeight="true" outlineLevel="0" collapsed="false">
      <c r="A4" s="28" t="s">
        <v>119</v>
      </c>
      <c r="B4" s="28" t="n">
        <f aca="false">COUNTIFS(Inventory!$D$2:$D$225,$A4,Inventory!$I$2:$I$225,B$3)</f>
        <v>33</v>
      </c>
      <c r="C4" s="28" t="n">
        <f aca="false">COUNTIFS(Inventory!$D$2:$D$225,$A4,Inventory!$I$2:$I$225,C$3)</f>
        <v>10</v>
      </c>
      <c r="D4" s="28" t="n">
        <f aca="false">COUNTIFS(Inventory!$D$2:$D$225,$A4,Inventory!$I$2:$I$225,D$3)</f>
        <v>7</v>
      </c>
      <c r="E4" s="28" t="n">
        <f aca="false">COUNTIFS(Inventory!$D$2:$D$225,$A4,Inventory!$I$2:$I$225,E$3)</f>
        <v>6</v>
      </c>
      <c r="F4" s="28" t="n">
        <f aca="false">COUNTIFS(Inventory!$D$2:$D$225,$A4,Inventory!$I$2:$I$225,F$3)</f>
        <v>0</v>
      </c>
      <c r="G4" s="28" t="n">
        <f aca="false">SUM(B4:F4)</f>
        <v>56</v>
      </c>
    </row>
    <row r="5" customFormat="false" ht="15" hidden="false" customHeight="true" outlineLevel="0" collapsed="false">
      <c r="A5" s="28" t="s">
        <v>167</v>
      </c>
      <c r="B5" s="28" t="n">
        <f aca="false">COUNTIFS(Inventory!$D$2:$D$225,$A5,Inventory!$I$2:$I$225,B$3)</f>
        <v>16</v>
      </c>
      <c r="C5" s="28" t="n">
        <f aca="false">COUNTIFS(Inventory!$D$2:$D$225,$A5,Inventory!$I$2:$I$225,C$3)</f>
        <v>3</v>
      </c>
      <c r="D5" s="28" t="n">
        <f aca="false">COUNTIFS(Inventory!$D$2:$D$225,$A5,Inventory!$I$2:$I$225,D$3)</f>
        <v>4</v>
      </c>
      <c r="E5" s="28" t="n">
        <f aca="false">COUNTIFS(Inventory!$D$2:$D$225,$A5,Inventory!$I$2:$I$225,E$3)</f>
        <v>1</v>
      </c>
      <c r="F5" s="28" t="n">
        <f aca="false">COUNTIFS(Inventory!$D$2:$D$225,$A5,Inventory!$I$2:$I$225,F$3)</f>
        <v>0</v>
      </c>
      <c r="G5" s="28" t="n">
        <f aca="false">SUM(B5:F5)</f>
        <v>24</v>
      </c>
    </row>
    <row r="6" customFormat="false" ht="15" hidden="false" customHeight="true" outlineLevel="0" collapsed="false">
      <c r="A6" s="28" t="s">
        <v>147</v>
      </c>
      <c r="B6" s="28" t="n">
        <f aca="false">COUNTIFS(Inventory!$D$2:$D$225,$A6,Inventory!$I$2:$I$225,B$3)</f>
        <v>25</v>
      </c>
      <c r="C6" s="28" t="n">
        <f aca="false">COUNTIFS(Inventory!$D$2:$D$225,$A6,Inventory!$I$2:$I$225,C$3)</f>
        <v>7</v>
      </c>
      <c r="D6" s="28" t="n">
        <f aca="false">COUNTIFS(Inventory!$D$2:$D$225,$A6,Inventory!$I$2:$I$225,D$3)</f>
        <v>4</v>
      </c>
      <c r="E6" s="28" t="n">
        <f aca="false">COUNTIFS(Inventory!$D$2:$D$225,$A6,Inventory!$I$2:$I$225,E$3)</f>
        <v>3</v>
      </c>
      <c r="F6" s="28" t="n">
        <f aca="false">COUNTIFS(Inventory!$D$2:$D$225,$A6,Inventory!$I$2:$I$225,F$3)</f>
        <v>1</v>
      </c>
      <c r="G6" s="28" t="n">
        <f aca="false">SUM(B6:F6)</f>
        <v>40</v>
      </c>
    </row>
    <row r="7" customFormat="false" ht="15" hidden="false" customHeight="true" outlineLevel="0" collapsed="false">
      <c r="A7" s="28" t="s">
        <v>180</v>
      </c>
      <c r="B7" s="28" t="n">
        <f aca="false">COUNTIFS(Inventory!$D$2:$D$225,$A7,Inventory!$I$2:$I$225,B$3)</f>
        <v>11</v>
      </c>
      <c r="C7" s="28" t="n">
        <f aca="false">COUNTIFS(Inventory!$D$2:$D$225,$A7,Inventory!$I$2:$I$225,C$3)</f>
        <v>5</v>
      </c>
      <c r="D7" s="28" t="n">
        <f aca="false">COUNTIFS(Inventory!$D$2:$D$225,$A7,Inventory!$I$2:$I$225,D$3)</f>
        <v>4</v>
      </c>
      <c r="E7" s="28" t="n">
        <f aca="false">COUNTIFS(Inventory!$D$2:$D$225,$A7,Inventory!$I$2:$I$225,E$3)</f>
        <v>3</v>
      </c>
      <c r="F7" s="28" t="n">
        <f aca="false">COUNTIFS(Inventory!$D$2:$D$225,$A7,Inventory!$I$2:$I$225,F$3)</f>
        <v>1</v>
      </c>
      <c r="G7" s="28" t="n">
        <f aca="false">SUM(B7:F7)</f>
        <v>24</v>
      </c>
    </row>
    <row r="8" customFormat="false" ht="15" hidden="false" customHeight="true" outlineLevel="0" collapsed="false">
      <c r="A8" s="28" t="s">
        <v>742</v>
      </c>
      <c r="B8" s="28" t="n">
        <f aca="false">SUM(B4:B7)</f>
        <v>85</v>
      </c>
      <c r="C8" s="28" t="n">
        <f aca="false">SUM(C4:C7)</f>
        <v>25</v>
      </c>
      <c r="D8" s="28" t="n">
        <f aca="false">SUM(D4:D7)</f>
        <v>19</v>
      </c>
      <c r="E8" s="28" t="n">
        <f aca="false">SUM(E4:E7)</f>
        <v>13</v>
      </c>
      <c r="F8" s="28" t="n">
        <f aca="false">SUM(F4:F7)</f>
        <v>2</v>
      </c>
      <c r="G8" s="28" t="n">
        <f aca="false">SUM(G4:G7)</f>
        <v>144</v>
      </c>
    </row>
    <row r="9" customFormat="false" ht="15" hidden="false" customHeight="true" outlineLevel="0" collapsed="false">
      <c r="A9" s="28" t="s">
        <v>743</v>
      </c>
      <c r="G9" s="28" t="str">
        <f aca="false">IF(G8=COUNTIF(Inventory!$H$2:$H$225,"Yes"),"OK","MISMATCH")</f>
        <v>OK</v>
      </c>
    </row>
    <row r="11" customFormat="false" ht="15" hidden="false" customHeight="true" outlineLevel="0" collapsed="false">
      <c r="A11" s="29" t="s">
        <v>744</v>
      </c>
    </row>
    <row r="12" customFormat="false" ht="15" hidden="false" customHeight="true" outlineLevel="0" collapsed="false">
      <c r="A12" s="27" t="s">
        <v>386</v>
      </c>
      <c r="B12" s="27" t="s">
        <v>745</v>
      </c>
    </row>
    <row r="13" customFormat="false" ht="15" hidden="false" customHeight="true" outlineLevel="0" collapsed="false">
      <c r="A13" s="28" t="s">
        <v>393</v>
      </c>
      <c r="B13" s="28" t="n">
        <f aca="false">COUNTIF(Inventory!$O$2:$O$225,A13)</f>
        <v>34</v>
      </c>
    </row>
    <row r="14" customFormat="false" ht="15" hidden="false" customHeight="true" outlineLevel="0" collapsed="false">
      <c r="A14" s="28" t="s">
        <v>746</v>
      </c>
      <c r="B14" s="28" t="n">
        <f aca="false">COUNTIF(Inventory!$O$2:$O$225,A14)</f>
        <v>0</v>
      </c>
    </row>
    <row r="15" customFormat="false" ht="15" hidden="false" customHeight="true" outlineLevel="0" collapsed="false">
      <c r="A15" s="28" t="s">
        <v>747</v>
      </c>
      <c r="B15" s="28" t="n">
        <f aca="false">COUNTIF(Inventory!$O$2:$O$225,A15)</f>
        <v>0</v>
      </c>
    </row>
    <row r="16" customFormat="false" ht="15" hidden="false" customHeight="true" outlineLevel="0" collapsed="false">
      <c r="A16" s="28" t="s">
        <v>748</v>
      </c>
      <c r="B16" s="28" t="n">
        <f aca="false">COUNTIF(Inventory!$O$2:$O$225,A16)</f>
        <v>0</v>
      </c>
    </row>
    <row r="17" customFormat="false" ht="15" hidden="false" customHeight="true" outlineLevel="0" collapsed="false">
      <c r="A17" s="28" t="s">
        <v>749</v>
      </c>
      <c r="B17" s="28" t="n">
        <f aca="false">COUNTIF(Inventory!$O$2:$O$225,A17)</f>
        <v>3</v>
      </c>
    </row>
    <row r="18" customFormat="false" ht="15" hidden="false" customHeight="true" outlineLevel="0" collapsed="false">
      <c r="A18" s="28" t="s">
        <v>409</v>
      </c>
      <c r="B18" s="28" t="n">
        <f aca="false">COUNTIF(Inventory!$O$2:$O$225,A18)</f>
        <v>44</v>
      </c>
    </row>
    <row r="19" customFormat="false" ht="15" hidden="false" customHeight="true" outlineLevel="0" collapsed="false">
      <c r="A19" s="28" t="s">
        <v>750</v>
      </c>
      <c r="B19" s="28" t="n">
        <f aca="false">SUM(B13:B18)</f>
        <v>81</v>
      </c>
    </row>
    <row r="20" customFormat="false" ht="15" hidden="false" customHeight="true" outlineLevel="0" collapsed="false">
      <c r="A20" s="28" t="s">
        <v>743</v>
      </c>
      <c r="B20" s="28" t="str">
        <f aca="false">IF(B19=COUNTIF(Inventory!$H$2:$H$225,"Yes"),"OK","MISMATCH")</f>
        <v>MISMATCH</v>
      </c>
    </row>
    <row r="23" customFormat="false" ht="15" hidden="false" customHeight="true" outlineLevel="0" collapsed="false">
      <c r="A23" s="29" t="s">
        <v>751</v>
      </c>
    </row>
    <row r="24" customFormat="false" ht="15" hidden="false" customHeight="true" outlineLevel="0" collapsed="false">
      <c r="A24" s="27" t="s">
        <v>92</v>
      </c>
      <c r="B24" s="27" t="s">
        <v>752</v>
      </c>
      <c r="C24" s="27" t="s">
        <v>753</v>
      </c>
      <c r="D24" s="27" t="s">
        <v>754</v>
      </c>
    </row>
    <row r="25" customFormat="false" ht="15" hidden="false" customHeight="true" outlineLevel="0" collapsed="false">
      <c r="A25" s="28" t="s">
        <v>118</v>
      </c>
      <c r="B25" s="28" t="n">
        <f aca="false">COUNTIFS(Inventory!$C$2:$C$225,$A25,Inventory!$I$2:$I$225,"Out of stock")</f>
        <v>4</v>
      </c>
      <c r="C25" s="28" t="n">
        <f aca="false">COUNTIFS(Inventory!$C$2:$C$225,$A25,Inventory!$I$2:$I$225,"Low stock")</f>
        <v>4</v>
      </c>
      <c r="D25" s="28" t="n">
        <f aca="false">B25+C25</f>
        <v>8</v>
      </c>
    </row>
    <row r="26" customFormat="false" ht="15" hidden="false" customHeight="true" outlineLevel="0" collapsed="false">
      <c r="A26" s="28" t="s">
        <v>137</v>
      </c>
      <c r="B26" s="28" t="n">
        <f aca="false">COUNTIFS(Inventory!$C$2:$C$225,$A26,Inventory!$I$2:$I$225,"Out of stock")</f>
        <v>3</v>
      </c>
      <c r="C26" s="28" t="n">
        <f aca="false">COUNTIFS(Inventory!$C$2:$C$225,$A26,Inventory!$I$2:$I$225,"Low stock")</f>
        <v>6</v>
      </c>
      <c r="D26" s="28" t="n">
        <f aca="false">B26+C26</f>
        <v>9</v>
      </c>
    </row>
    <row r="27" customFormat="false" ht="15" hidden="false" customHeight="true" outlineLevel="0" collapsed="false">
      <c r="A27" s="28" t="s">
        <v>146</v>
      </c>
      <c r="B27" s="28" t="n">
        <f aca="false">COUNTIFS(Inventory!$C$2:$C$225,$A27,Inventory!$I$2:$I$225,"Out of stock")</f>
        <v>3</v>
      </c>
      <c r="C27" s="28" t="n">
        <f aca="false">COUNTIFS(Inventory!$C$2:$C$225,$A27,Inventory!$I$2:$I$225,"Low stock")</f>
        <v>5</v>
      </c>
      <c r="D27" s="28" t="n">
        <f aca="false">B27+C27</f>
        <v>8</v>
      </c>
    </row>
    <row r="28" customFormat="false" ht="15" hidden="false" customHeight="true" outlineLevel="0" collapsed="false">
      <c r="A28" s="28" t="s">
        <v>155</v>
      </c>
      <c r="B28" s="28" t="n">
        <f aca="false">COUNTIFS(Inventory!$C$2:$C$225,$A28,Inventory!$I$2:$I$225,"Out of stock")</f>
        <v>1</v>
      </c>
      <c r="C28" s="28" t="n">
        <f aca="false">COUNTIFS(Inventory!$C$2:$C$225,$A28,Inventory!$I$2:$I$225,"Low stock")</f>
        <v>2</v>
      </c>
      <c r="D28" s="28" t="n">
        <f aca="false">B28+C28</f>
        <v>3</v>
      </c>
    </row>
    <row r="29" customFormat="false" ht="15" hidden="false" customHeight="true" outlineLevel="0" collapsed="false">
      <c r="A29" s="28" t="s">
        <v>166</v>
      </c>
      <c r="B29" s="28" t="n">
        <f aca="false">COUNTIFS(Inventory!$C$2:$C$225,$A29,Inventory!$I$2:$I$225,"Out of stock")</f>
        <v>2</v>
      </c>
      <c r="C29" s="28" t="n">
        <f aca="false">COUNTIFS(Inventory!$C$2:$C$225,$A29,Inventory!$I$2:$I$225,"Low stock")</f>
        <v>2</v>
      </c>
      <c r="D29" s="28" t="n">
        <f aca="false">B29+C29</f>
        <v>4</v>
      </c>
    </row>
    <row r="30" customFormat="false" ht="15" hidden="false" customHeight="true" outlineLevel="0" collapsed="false">
      <c r="A30" s="28" t="s">
        <v>174</v>
      </c>
      <c r="B30" s="28" t="n">
        <f aca="false">COUNTIFS(Inventory!$C$2:$C$225,$A30,Inventory!$I$2:$I$225,"Out of stock")</f>
        <v>2</v>
      </c>
      <c r="C30" s="28" t="n">
        <f aca="false">COUNTIFS(Inventory!$C$2:$C$225,$A30,Inventory!$I$2:$I$225,"Low stock")</f>
        <v>1</v>
      </c>
      <c r="D30" s="28" t="n">
        <f aca="false">B30+C30</f>
        <v>3</v>
      </c>
    </row>
    <row r="31" customFormat="false" ht="15" hidden="false" customHeight="true" outlineLevel="0" collapsed="false">
      <c r="A31" s="28" t="s">
        <v>179</v>
      </c>
      <c r="B31" s="28" t="n">
        <f aca="false">COUNTIFS(Inventory!$C$2:$C$225,$A31,Inventory!$I$2:$I$225,"Out of stock")</f>
        <v>1</v>
      </c>
      <c r="C31" s="28" t="n">
        <f aca="false">COUNTIFS(Inventory!$C$2:$C$225,$A31,Inventory!$I$2:$I$225,"Low stock")</f>
        <v>2</v>
      </c>
      <c r="D31" s="28" t="n">
        <f aca="false">B31+C31</f>
        <v>3</v>
      </c>
    </row>
    <row r="32" customFormat="false" ht="15" hidden="false" customHeight="true" outlineLevel="0" collapsed="false">
      <c r="A32" s="28" t="s">
        <v>187</v>
      </c>
      <c r="B32" s="28" t="n">
        <f aca="false">COUNTIFS(Inventory!$C$2:$C$225,$A32,Inventory!$I$2:$I$225,"Out of stock")</f>
        <v>3</v>
      </c>
      <c r="C32" s="28" t="n">
        <f aca="false">COUNTIFS(Inventory!$C$2:$C$225,$A32,Inventory!$I$2:$I$225,"Low stock")</f>
        <v>3</v>
      </c>
      <c r="D32" s="28" t="n">
        <f aca="false">B32+C32</f>
        <v>6</v>
      </c>
    </row>
    <row r="33" customFormat="false" ht="15" hidden="false" customHeight="true" outlineLevel="0" collapsed="false">
      <c r="A33" s="28" t="s">
        <v>755</v>
      </c>
      <c r="B33" s="28" t="n">
        <f aca="false">SUM(B25:B32)</f>
        <v>19</v>
      </c>
      <c r="C33" s="28" t="n">
        <f aca="false">SUM(C25:C32)</f>
        <v>25</v>
      </c>
      <c r="D33" s="28" t="n">
        <f aca="false">SUM(D25:D32)</f>
        <v>44</v>
      </c>
    </row>
    <row r="35" customFormat="false" ht="15" hidden="false" customHeight="true" outlineLevel="0" collapsed="false">
      <c r="A35" s="29" t="s">
        <v>756</v>
      </c>
    </row>
    <row r="36" customFormat="false" ht="15" hidden="false" customHeight="true" outlineLevel="0" collapsed="false">
      <c r="A36" s="27" t="s">
        <v>687</v>
      </c>
      <c r="B36" s="27" t="s">
        <v>757</v>
      </c>
    </row>
    <row r="37" customFormat="false" ht="15" hidden="false" customHeight="true" outlineLevel="0" collapsed="false">
      <c r="A37" s="28" t="s">
        <v>697</v>
      </c>
      <c r="B37" s="28" t="n">
        <f aca="false">COUNTIF(Reservations!$I$2:$I$11,A37)</f>
        <v>5</v>
      </c>
    </row>
    <row r="38" customFormat="false" ht="15" hidden="false" customHeight="true" outlineLevel="0" collapsed="false">
      <c r="A38" s="28" t="s">
        <v>703</v>
      </c>
      <c r="B38" s="28" t="n">
        <f aca="false">COUNTIF(Reservations!$I$2:$I$11,A38)</f>
        <v>2</v>
      </c>
    </row>
    <row r="39" customFormat="false" ht="15" hidden="false" customHeight="true" outlineLevel="0" collapsed="false">
      <c r="A39" s="28" t="s">
        <v>720</v>
      </c>
      <c r="B39" s="28" t="n">
        <f aca="false">COUNTIF(Reservations!$I$2:$I$11,A39)</f>
        <v>1</v>
      </c>
    </row>
    <row r="40" customFormat="false" ht="15" hidden="false" customHeight="true" outlineLevel="0" collapsed="false">
      <c r="A40" s="28" t="s">
        <v>758</v>
      </c>
      <c r="B40" s="28" t="n">
        <f aca="false">COUNTIF(Reservations!$I$2:$I$11,A40)</f>
        <v>1</v>
      </c>
    </row>
    <row r="41" customFormat="false" ht="15" hidden="false" customHeight="true" outlineLevel="0" collapsed="false">
      <c r="A41" s="28" t="s">
        <v>730</v>
      </c>
      <c r="B41" s="28" t="n">
        <f aca="false">COUNTIF(Reservations!$I$2:$I$11,A41)</f>
        <v>1</v>
      </c>
    </row>
    <row r="42" customFormat="false" ht="15" hidden="false" customHeight="true" outlineLevel="0" collapsed="false">
      <c r="A42" s="28" t="s">
        <v>750</v>
      </c>
      <c r="B42" s="28" t="n">
        <f aca="false">SUM(B37:B41)</f>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2"/>
    <col collapsed="false" customWidth="true" hidden="false" outlineLevel="0" max="3" min="3" style="1" width="16"/>
    <col collapsed="false" customWidth="true" hidden="false" outlineLevel="0" max="4" min="4" style="1" width="22"/>
    <col collapsed="false" customWidth="true" hidden="false" outlineLevel="0" max="5" min="5" style="1" width="24"/>
    <col collapsed="false" customWidth="true" hidden="false" outlineLevel="0" max="6" min="6" style="1" width="56"/>
    <col collapsed="false" customWidth="true" hidden="false" outlineLevel="0" max="7" min="7" style="1" width="60"/>
    <col collapsed="false" customWidth="true" hidden="false" outlineLevel="0" max="8" min="8" style="1" width="36"/>
    <col collapsed="false" customWidth="true" hidden="false" outlineLevel="0" max="9" min="9" style="1" width="30"/>
    <col collapsed="false" customWidth="true" hidden="false" outlineLevel="0" max="10" min="10" style="1" width="40"/>
  </cols>
  <sheetData>
    <row r="1" customFormat="false" ht="31.5" hidden="false" customHeight="true" outlineLevel="0" collapsed="false">
      <c r="A1" s="14" t="s">
        <v>759</v>
      </c>
      <c r="B1" s="14" t="s">
        <v>760</v>
      </c>
      <c r="C1" s="14" t="s">
        <v>93</v>
      </c>
      <c r="D1" s="14" t="s">
        <v>761</v>
      </c>
      <c r="E1" s="14" t="s">
        <v>762</v>
      </c>
      <c r="F1" s="14" t="s">
        <v>763</v>
      </c>
      <c r="G1" s="14" t="s">
        <v>764</v>
      </c>
      <c r="H1" s="14" t="s">
        <v>765</v>
      </c>
      <c r="I1" s="14" t="s">
        <v>766</v>
      </c>
      <c r="J1" s="14" t="s">
        <v>767</v>
      </c>
    </row>
    <row r="2" customFormat="false" ht="34.5" hidden="false" customHeight="true" outlineLevel="0" collapsed="false">
      <c r="A2" s="18" t="s">
        <v>768</v>
      </c>
      <c r="B2" s="15" t="s">
        <v>769</v>
      </c>
      <c r="C2" s="18" t="s">
        <v>119</v>
      </c>
      <c r="D2" s="15" t="s">
        <v>205</v>
      </c>
      <c r="E2" s="15" t="s">
        <v>770</v>
      </c>
      <c r="F2" s="15" t="s">
        <v>771</v>
      </c>
      <c r="G2" s="15" t="s">
        <v>772</v>
      </c>
      <c r="H2" s="15" t="s">
        <v>773</v>
      </c>
      <c r="I2" s="15" t="s">
        <v>774</v>
      </c>
      <c r="J2" s="15" t="s">
        <v>775</v>
      </c>
    </row>
    <row r="3" customFormat="false" ht="23.25" hidden="false" customHeight="true" outlineLevel="0" collapsed="false">
      <c r="A3" s="18" t="s">
        <v>776</v>
      </c>
      <c r="B3" s="15" t="s">
        <v>777</v>
      </c>
      <c r="C3" s="18" t="s">
        <v>147</v>
      </c>
      <c r="D3" s="15" t="s">
        <v>216</v>
      </c>
      <c r="E3" s="15" t="s">
        <v>778</v>
      </c>
      <c r="F3" s="15" t="s">
        <v>779</v>
      </c>
      <c r="G3" s="15" t="s">
        <v>780</v>
      </c>
      <c r="H3" s="15" t="s">
        <v>781</v>
      </c>
      <c r="I3" s="15" t="s">
        <v>782</v>
      </c>
      <c r="J3" s="15"/>
    </row>
    <row r="4" customFormat="false" ht="34.5" hidden="false" customHeight="true" outlineLevel="0" collapsed="false">
      <c r="A4" s="18" t="s">
        <v>783</v>
      </c>
      <c r="B4" s="15" t="s">
        <v>784</v>
      </c>
      <c r="C4" s="18" t="s">
        <v>167</v>
      </c>
      <c r="D4" s="15" t="s">
        <v>252</v>
      </c>
      <c r="E4" s="15" t="s">
        <v>785</v>
      </c>
      <c r="F4" s="15" t="s">
        <v>786</v>
      </c>
      <c r="G4" s="15" t="s">
        <v>787</v>
      </c>
      <c r="H4" s="15" t="s">
        <v>788</v>
      </c>
      <c r="I4" s="15" t="s">
        <v>789</v>
      </c>
      <c r="J4" s="15" t="s">
        <v>790</v>
      </c>
    </row>
    <row r="5" customFormat="false" ht="34.5" hidden="false" customHeight="true" outlineLevel="0" collapsed="false">
      <c r="A5" s="18" t="s">
        <v>791</v>
      </c>
      <c r="B5" s="15" t="s">
        <v>792</v>
      </c>
      <c r="C5" s="18" t="s">
        <v>119</v>
      </c>
      <c r="D5" s="15" t="s">
        <v>793</v>
      </c>
      <c r="E5" s="15" t="s">
        <v>794</v>
      </c>
      <c r="F5" s="15" t="s">
        <v>795</v>
      </c>
      <c r="G5" s="15" t="s">
        <v>796</v>
      </c>
      <c r="H5" s="15" t="s">
        <v>797</v>
      </c>
      <c r="I5" s="15" t="s">
        <v>444</v>
      </c>
      <c r="J5" s="15" t="s">
        <v>798</v>
      </c>
    </row>
    <row r="6" customFormat="false" ht="23.25" hidden="false" customHeight="true" outlineLevel="0" collapsed="false">
      <c r="A6" s="18" t="s">
        <v>799</v>
      </c>
      <c r="B6" s="15" t="s">
        <v>800</v>
      </c>
      <c r="C6" s="18" t="s">
        <v>180</v>
      </c>
      <c r="D6" s="15" t="s">
        <v>793</v>
      </c>
      <c r="E6" s="15" t="s">
        <v>801</v>
      </c>
      <c r="F6" s="15" t="s">
        <v>802</v>
      </c>
      <c r="G6" s="15" t="s">
        <v>803</v>
      </c>
      <c r="H6" s="15" t="s">
        <v>804</v>
      </c>
      <c r="I6" s="15" t="s">
        <v>805</v>
      </c>
      <c r="J6" s="15"/>
    </row>
    <row r="7" customFormat="false" ht="23.25" hidden="false" customHeight="true" outlineLevel="0" collapsed="false">
      <c r="A7" s="18" t="s">
        <v>806</v>
      </c>
      <c r="B7" s="15" t="s">
        <v>807</v>
      </c>
      <c r="C7" s="18" t="s">
        <v>147</v>
      </c>
      <c r="D7" s="15" t="s">
        <v>306</v>
      </c>
      <c r="E7" s="15" t="s">
        <v>808</v>
      </c>
      <c r="F7" s="15" t="s">
        <v>809</v>
      </c>
      <c r="G7" s="15" t="s">
        <v>810</v>
      </c>
      <c r="H7" s="15" t="s">
        <v>811</v>
      </c>
      <c r="I7" s="15" t="s">
        <v>812</v>
      </c>
      <c r="J7" s="15"/>
    </row>
    <row r="8" customFormat="false" ht="23.25" hidden="false" customHeight="true" outlineLevel="0" collapsed="false">
      <c r="A8" s="18" t="s">
        <v>813</v>
      </c>
      <c r="B8" s="15" t="s">
        <v>814</v>
      </c>
      <c r="C8" s="18" t="s">
        <v>147</v>
      </c>
      <c r="D8" s="15" t="s">
        <v>288</v>
      </c>
      <c r="E8" s="15" t="s">
        <v>785</v>
      </c>
      <c r="F8" s="15" t="s">
        <v>815</v>
      </c>
      <c r="G8" s="15" t="s">
        <v>816</v>
      </c>
      <c r="H8" s="15" t="s">
        <v>817</v>
      </c>
      <c r="I8" s="15" t="s">
        <v>818</v>
      </c>
      <c r="J8" s="15" t="s">
        <v>819</v>
      </c>
    </row>
    <row r="9" customFormat="false" ht="34.5" hidden="false" customHeight="true" outlineLevel="0" collapsed="false">
      <c r="A9" s="18" t="s">
        <v>820</v>
      </c>
      <c r="B9" s="15" t="s">
        <v>821</v>
      </c>
      <c r="C9" s="18" t="s">
        <v>167</v>
      </c>
      <c r="D9" s="15" t="s">
        <v>205</v>
      </c>
      <c r="E9" s="15" t="s">
        <v>822</v>
      </c>
      <c r="F9" s="15" t="s">
        <v>823</v>
      </c>
      <c r="G9" s="15" t="s">
        <v>824</v>
      </c>
      <c r="H9" s="15" t="s">
        <v>825</v>
      </c>
      <c r="I9" s="15" t="s">
        <v>826</v>
      </c>
      <c r="J9" s="15" t="s">
        <v>827</v>
      </c>
    </row>
    <row r="10" customFormat="false" ht="23.25" hidden="false" customHeight="true" outlineLevel="0" collapsed="false">
      <c r="A10" s="18" t="s">
        <v>828</v>
      </c>
      <c r="B10" s="15" t="s">
        <v>829</v>
      </c>
      <c r="C10" s="18" t="s">
        <v>119</v>
      </c>
      <c r="D10" s="15" t="s">
        <v>216</v>
      </c>
      <c r="E10" s="15" t="s">
        <v>830</v>
      </c>
      <c r="F10" s="15" t="s">
        <v>831</v>
      </c>
      <c r="G10" s="15" t="s">
        <v>832</v>
      </c>
      <c r="H10" s="15" t="s">
        <v>833</v>
      </c>
      <c r="I10" s="15" t="s">
        <v>395</v>
      </c>
      <c r="J10" s="15"/>
    </row>
    <row r="11" customFormat="false" ht="34.5" hidden="false" customHeight="true" outlineLevel="0" collapsed="false">
      <c r="A11" s="18" t="s">
        <v>834</v>
      </c>
      <c r="B11" s="15" t="s">
        <v>835</v>
      </c>
      <c r="C11" s="18" t="s">
        <v>180</v>
      </c>
      <c r="D11" s="15" t="s">
        <v>300</v>
      </c>
      <c r="E11" s="15" t="s">
        <v>801</v>
      </c>
      <c r="F11" s="15" t="s">
        <v>836</v>
      </c>
      <c r="G11" s="15" t="s">
        <v>837</v>
      </c>
      <c r="H11" s="15" t="s">
        <v>838</v>
      </c>
      <c r="I11" s="15" t="s">
        <v>839</v>
      </c>
      <c r="J11" s="15" t="s">
        <v>840</v>
      </c>
    </row>
    <row r="12" customFormat="false" ht="23.25" hidden="false" customHeight="true" outlineLevel="0" collapsed="false">
      <c r="A12" s="18" t="s">
        <v>841</v>
      </c>
      <c r="B12" s="15" t="s">
        <v>842</v>
      </c>
      <c r="C12" s="18" t="s">
        <v>843</v>
      </c>
      <c r="D12" s="15" t="s">
        <v>844</v>
      </c>
      <c r="E12" s="15" t="s">
        <v>845</v>
      </c>
      <c r="F12" s="15" t="s">
        <v>846</v>
      </c>
      <c r="G12" s="15" t="s">
        <v>847</v>
      </c>
      <c r="H12" s="15" t="s">
        <v>848</v>
      </c>
      <c r="I12" s="15" t="s">
        <v>849</v>
      </c>
      <c r="J12" s="15" t="s">
        <v>850</v>
      </c>
    </row>
    <row r="13" customFormat="false" ht="23.25" hidden="false" customHeight="true" outlineLevel="0" collapsed="false">
      <c r="A13" s="18" t="s">
        <v>851</v>
      </c>
      <c r="B13" s="15" t="s">
        <v>852</v>
      </c>
      <c r="C13" s="18" t="s">
        <v>119</v>
      </c>
      <c r="D13" s="15" t="s">
        <v>205</v>
      </c>
      <c r="E13" s="15" t="s">
        <v>853</v>
      </c>
      <c r="F13" s="15" t="s">
        <v>854</v>
      </c>
      <c r="G13" s="15" t="s">
        <v>855</v>
      </c>
      <c r="H13" s="15" t="s">
        <v>856</v>
      </c>
      <c r="I13" s="15" t="s">
        <v>857</v>
      </c>
      <c r="J13"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3" min="3" style="1" width="20"/>
    <col collapsed="false" customWidth="true" hidden="false" outlineLevel="0" max="4" min="4" style="1" width="40"/>
    <col collapsed="false" customWidth="true" hidden="false" outlineLevel="0" max="6" min="5" style="1" width="56"/>
    <col collapsed="false" customWidth="true" hidden="false" outlineLevel="0" max="7" min="7" style="1" width="22"/>
  </cols>
  <sheetData>
    <row r="1" customFormat="false" ht="31.5" hidden="false" customHeight="true" outlineLevel="0" collapsed="false">
      <c r="A1" s="14" t="s">
        <v>858</v>
      </c>
      <c r="B1" s="14" t="s">
        <v>859</v>
      </c>
      <c r="C1" s="14" t="s">
        <v>860</v>
      </c>
      <c r="D1" s="14" t="s">
        <v>861</v>
      </c>
      <c r="E1" s="14" t="s">
        <v>862</v>
      </c>
      <c r="F1" s="14" t="s">
        <v>863</v>
      </c>
      <c r="G1" s="14" t="s">
        <v>864</v>
      </c>
    </row>
    <row r="2" customFormat="false" ht="15" hidden="false" customHeight="true" outlineLevel="0" collapsed="false">
      <c r="A2" s="18" t="s">
        <v>865</v>
      </c>
      <c r="B2" s="15" t="s">
        <v>866</v>
      </c>
      <c r="C2" s="18" t="s">
        <v>867</v>
      </c>
      <c r="D2" s="15" t="s">
        <v>868</v>
      </c>
      <c r="E2" s="15" t="s">
        <v>869</v>
      </c>
      <c r="F2" s="15" t="s">
        <v>870</v>
      </c>
      <c r="G2" s="18" t="s">
        <v>123</v>
      </c>
    </row>
    <row r="3" customFormat="false" ht="15" hidden="false" customHeight="true" outlineLevel="0" collapsed="false">
      <c r="A3" s="18" t="s">
        <v>871</v>
      </c>
      <c r="B3" s="15" t="s">
        <v>872</v>
      </c>
      <c r="C3" s="18" t="s">
        <v>867</v>
      </c>
      <c r="D3" s="15" t="s">
        <v>873</v>
      </c>
      <c r="E3" s="15" t="s">
        <v>874</v>
      </c>
      <c r="F3" s="15" t="s">
        <v>870</v>
      </c>
      <c r="G3" s="18" t="s">
        <v>123</v>
      </c>
    </row>
    <row r="4" customFormat="false" ht="23.25" hidden="false" customHeight="true" outlineLevel="0" collapsed="false">
      <c r="A4" s="18" t="s">
        <v>875</v>
      </c>
      <c r="B4" s="15" t="s">
        <v>876</v>
      </c>
      <c r="C4" s="18" t="s">
        <v>877</v>
      </c>
      <c r="D4" s="15" t="s">
        <v>878</v>
      </c>
      <c r="E4" s="15" t="s">
        <v>879</v>
      </c>
      <c r="F4" s="15" t="s">
        <v>880</v>
      </c>
      <c r="G4" s="18" t="s">
        <v>123</v>
      </c>
    </row>
    <row r="5" customFormat="false" ht="15" hidden="false" customHeight="true" outlineLevel="0" collapsed="false">
      <c r="A5" s="18" t="s">
        <v>881</v>
      </c>
      <c r="B5" s="15" t="s">
        <v>882</v>
      </c>
      <c r="C5" s="18" t="s">
        <v>883</v>
      </c>
      <c r="D5" s="15" t="s">
        <v>884</v>
      </c>
      <c r="E5" s="15" t="s">
        <v>885</v>
      </c>
      <c r="F5" s="15" t="s">
        <v>886</v>
      </c>
      <c r="G5" s="18" t="s">
        <v>123</v>
      </c>
    </row>
    <row r="6" customFormat="false" ht="15" hidden="false" customHeight="true" outlineLevel="0" collapsed="false">
      <c r="A6" s="18" t="s">
        <v>887</v>
      </c>
      <c r="B6" s="15" t="s">
        <v>888</v>
      </c>
      <c r="C6" s="18" t="s">
        <v>883</v>
      </c>
      <c r="D6" s="15" t="s">
        <v>889</v>
      </c>
      <c r="E6" s="15" t="s">
        <v>890</v>
      </c>
      <c r="F6" s="15" t="s">
        <v>886</v>
      </c>
      <c r="G6" s="18" t="s">
        <v>123</v>
      </c>
    </row>
    <row r="7" customFormat="false" ht="15" hidden="false" customHeight="true" outlineLevel="0" collapsed="false">
      <c r="A7" s="18" t="s">
        <v>891</v>
      </c>
      <c r="B7" s="15" t="s">
        <v>892</v>
      </c>
      <c r="C7" s="18" t="s">
        <v>883</v>
      </c>
      <c r="D7" s="15" t="s">
        <v>893</v>
      </c>
      <c r="E7" s="15" t="s">
        <v>894</v>
      </c>
      <c r="F7" s="15" t="s">
        <v>886</v>
      </c>
      <c r="G7" s="18" t="s">
        <v>123</v>
      </c>
    </row>
    <row r="8" customFormat="false" ht="23.25" hidden="false" customHeight="true" outlineLevel="0" collapsed="false">
      <c r="A8" s="18" t="s">
        <v>895</v>
      </c>
      <c r="B8" s="15" t="s">
        <v>896</v>
      </c>
      <c r="C8" s="18" t="s">
        <v>897</v>
      </c>
      <c r="D8" s="15" t="s">
        <v>898</v>
      </c>
      <c r="E8" s="15" t="s">
        <v>899</v>
      </c>
      <c r="F8" s="15" t="s">
        <v>870</v>
      </c>
      <c r="G8" s="18" t="s">
        <v>123</v>
      </c>
    </row>
    <row r="9" customFormat="false" ht="23.25" hidden="false" customHeight="true" outlineLevel="0" collapsed="false">
      <c r="A9" s="18" t="s">
        <v>900</v>
      </c>
      <c r="B9" s="15" t="s">
        <v>901</v>
      </c>
      <c r="C9" s="18" t="s">
        <v>902</v>
      </c>
      <c r="D9" s="15" t="s">
        <v>903</v>
      </c>
      <c r="E9" s="15" t="s">
        <v>904</v>
      </c>
      <c r="F9" s="15" t="s">
        <v>880</v>
      </c>
      <c r="G9" s="18" t="s">
        <v>123</v>
      </c>
    </row>
    <row r="10" customFormat="false" ht="15" hidden="false" customHeight="true" outlineLevel="0" collapsed="false">
      <c r="A10" s="18" t="s">
        <v>905</v>
      </c>
      <c r="B10" s="15" t="s">
        <v>906</v>
      </c>
      <c r="C10" s="18" t="s">
        <v>907</v>
      </c>
      <c r="D10" s="15" t="s">
        <v>908</v>
      </c>
      <c r="E10" s="15" t="s">
        <v>909</v>
      </c>
      <c r="F10" s="15" t="s">
        <v>870</v>
      </c>
      <c r="G10" s="18" t="s">
        <v>123</v>
      </c>
    </row>
    <row r="11" customFormat="false" ht="15" hidden="false" customHeight="true" outlineLevel="0" collapsed="false">
      <c r="A11" s="18" t="s">
        <v>910</v>
      </c>
      <c r="B11" s="15" t="s">
        <v>911</v>
      </c>
      <c r="C11" s="18" t="s">
        <v>907</v>
      </c>
      <c r="D11" s="15" t="s">
        <v>912</v>
      </c>
      <c r="E11" s="15" t="s">
        <v>913</v>
      </c>
      <c r="F11" s="15" t="s">
        <v>870</v>
      </c>
      <c r="G11" s="18" t="s">
        <v>123</v>
      </c>
    </row>
    <row r="12" customFormat="false" ht="15" hidden="false" customHeight="true" outlineLevel="0" collapsed="false">
      <c r="A12" s="18" t="s">
        <v>914</v>
      </c>
      <c r="B12" s="15" t="s">
        <v>915</v>
      </c>
      <c r="C12" s="18" t="s">
        <v>907</v>
      </c>
      <c r="D12" s="15" t="s">
        <v>916</v>
      </c>
      <c r="E12" s="15" t="s">
        <v>917</v>
      </c>
      <c r="F12" s="15" t="s">
        <v>918</v>
      </c>
      <c r="G12" s="18" t="s">
        <v>919</v>
      </c>
    </row>
    <row r="13" customFormat="false" ht="15" hidden="false" customHeight="true" outlineLevel="0" collapsed="false">
      <c r="A13" s="18" t="s">
        <v>920</v>
      </c>
      <c r="B13" s="15" t="s">
        <v>921</v>
      </c>
      <c r="C13" s="18" t="s">
        <v>922</v>
      </c>
      <c r="D13" s="15" t="s">
        <v>923</v>
      </c>
      <c r="E13" s="15" t="s">
        <v>924</v>
      </c>
      <c r="F13" s="15" t="s">
        <v>925</v>
      </c>
      <c r="G13" s="18" t="s">
        <v>123</v>
      </c>
    </row>
    <row r="14" customFormat="false" ht="15" hidden="false" customHeight="true" outlineLevel="0" collapsed="false">
      <c r="A14" s="18" t="s">
        <v>926</v>
      </c>
      <c r="B14" s="15" t="s">
        <v>927</v>
      </c>
      <c r="C14" s="18" t="s">
        <v>922</v>
      </c>
      <c r="D14" s="15" t="s">
        <v>928</v>
      </c>
      <c r="E14" s="15" t="s">
        <v>929</v>
      </c>
      <c r="F14" s="15" t="s">
        <v>930</v>
      </c>
      <c r="G14" s="18"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70"/>
    <col collapsed="false" customWidth="true" hidden="false" outlineLevel="0" max="3" min="3" style="1" width="28"/>
    <col collapsed="false" customWidth="true" hidden="false" outlineLevel="0" max="4" min="4" style="1" width="80"/>
    <col collapsed="false" customWidth="true" hidden="false" outlineLevel="0" max="5" min="5" style="1" width="12"/>
  </cols>
  <sheetData>
    <row r="1" customFormat="false" ht="31.5" hidden="false" customHeight="true" outlineLevel="0" collapsed="false">
      <c r="A1" s="14" t="s">
        <v>931</v>
      </c>
      <c r="B1" s="14" t="s">
        <v>932</v>
      </c>
      <c r="C1" s="14" t="s">
        <v>933</v>
      </c>
      <c r="D1" s="14" t="s">
        <v>934</v>
      </c>
      <c r="E1" s="14" t="s">
        <v>935</v>
      </c>
    </row>
    <row r="2" customFormat="false" ht="23.25" hidden="false" customHeight="true" outlineLevel="0" collapsed="false">
      <c r="A2" s="18" t="s">
        <v>936</v>
      </c>
      <c r="B2" s="15" t="s">
        <v>937</v>
      </c>
      <c r="C2" s="18" t="s">
        <v>938</v>
      </c>
      <c r="D2" s="15" t="s">
        <v>939</v>
      </c>
      <c r="E2" s="18" t="s">
        <v>940</v>
      </c>
    </row>
    <row r="3" customFormat="false" ht="23.25" hidden="false" customHeight="true" outlineLevel="0" collapsed="false">
      <c r="A3" s="18" t="s">
        <v>941</v>
      </c>
      <c r="B3" s="15" t="s">
        <v>942</v>
      </c>
      <c r="C3" s="18" t="s">
        <v>938</v>
      </c>
      <c r="D3" s="15" t="s">
        <v>943</v>
      </c>
      <c r="E3" s="18" t="s">
        <v>940</v>
      </c>
    </row>
    <row r="4" customFormat="false" ht="15" hidden="false" customHeight="true" outlineLevel="0" collapsed="false">
      <c r="A4" s="18" t="s">
        <v>944</v>
      </c>
      <c r="B4" s="15" t="s">
        <v>945</v>
      </c>
      <c r="C4" s="18" t="s">
        <v>938</v>
      </c>
      <c r="D4" s="15" t="s">
        <v>946</v>
      </c>
      <c r="E4" s="18" t="s">
        <v>940</v>
      </c>
    </row>
    <row r="5" customFormat="false" ht="15" hidden="false" customHeight="true" outlineLevel="0" collapsed="false">
      <c r="A5" s="18" t="s">
        <v>947</v>
      </c>
      <c r="B5" s="15" t="s">
        <v>948</v>
      </c>
      <c r="C5" s="18" t="s">
        <v>938</v>
      </c>
      <c r="D5" s="15" t="s">
        <v>949</v>
      </c>
      <c r="E5" s="18" t="s">
        <v>940</v>
      </c>
    </row>
    <row r="6" customFormat="false" ht="15" hidden="false" customHeight="true" outlineLevel="0" collapsed="false">
      <c r="A6" s="18" t="s">
        <v>950</v>
      </c>
      <c r="B6" s="15" t="s">
        <v>951</v>
      </c>
      <c r="C6" s="18" t="s">
        <v>952</v>
      </c>
      <c r="D6" s="15" t="s">
        <v>953</v>
      </c>
      <c r="E6" s="18" t="s">
        <v>940</v>
      </c>
    </row>
    <row r="7" customFormat="false" ht="15" hidden="false" customHeight="true" outlineLevel="0" collapsed="false">
      <c r="A7" s="18" t="s">
        <v>954</v>
      </c>
      <c r="B7" s="15" t="s">
        <v>955</v>
      </c>
      <c r="C7" s="18" t="s">
        <v>956</v>
      </c>
      <c r="D7" s="15" t="s">
        <v>957</v>
      </c>
      <c r="E7" s="18" t="s">
        <v>940</v>
      </c>
    </row>
    <row r="8" customFormat="false" ht="15" hidden="false" customHeight="true" outlineLevel="0" collapsed="false">
      <c r="A8" s="18" t="s">
        <v>958</v>
      </c>
      <c r="B8" s="15" t="s">
        <v>959</v>
      </c>
      <c r="C8" s="18" t="s">
        <v>956</v>
      </c>
      <c r="D8" s="15" t="s">
        <v>960</v>
      </c>
      <c r="E8" s="18" t="s">
        <v>940</v>
      </c>
    </row>
    <row r="9" customFormat="false" ht="23.25" hidden="false" customHeight="true" outlineLevel="0" collapsed="false">
      <c r="A9" s="18" t="s">
        <v>961</v>
      </c>
      <c r="B9" s="15" t="s">
        <v>962</v>
      </c>
      <c r="C9" s="18" t="s">
        <v>956</v>
      </c>
      <c r="D9" s="15" t="s">
        <v>963</v>
      </c>
      <c r="E9" s="18" t="s">
        <v>940</v>
      </c>
    </row>
    <row r="10" customFormat="false" ht="15" hidden="false" customHeight="true" outlineLevel="0" collapsed="false">
      <c r="A10" s="18" t="s">
        <v>964</v>
      </c>
      <c r="B10" s="15" t="s">
        <v>965</v>
      </c>
      <c r="C10" s="18" t="s">
        <v>966</v>
      </c>
      <c r="D10" s="15" t="s">
        <v>967</v>
      </c>
      <c r="E10" s="18" t="s">
        <v>940</v>
      </c>
    </row>
    <row r="11" customFormat="false" ht="23.25" hidden="false" customHeight="true" outlineLevel="0" collapsed="false">
      <c r="A11" s="18" t="s">
        <v>968</v>
      </c>
      <c r="B11" s="15" t="s">
        <v>969</v>
      </c>
      <c r="C11" s="18" t="s">
        <v>956</v>
      </c>
      <c r="D11" s="15" t="s">
        <v>970</v>
      </c>
      <c r="E11" s="18" t="s">
        <v>940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36"/>
    <col collapsed="false" customWidth="true" hidden="false" outlineLevel="0" max="3" min="3" style="1" width="14"/>
    <col collapsed="false" customWidth="true" hidden="false" outlineLevel="0" max="4" min="4" style="1" width="70"/>
    <col collapsed="false" customWidth="true" hidden="false" outlineLevel="0" max="5" min="5" style="1" width="50"/>
    <col collapsed="false" customWidth="true" hidden="false" outlineLevel="0" max="6" min="6" style="1" width="30"/>
  </cols>
  <sheetData>
    <row r="1" customFormat="false" ht="31.5" hidden="false" customHeight="true" outlineLevel="0" collapsed="false">
      <c r="A1" s="14" t="s">
        <v>971</v>
      </c>
      <c r="B1" s="14" t="s">
        <v>972</v>
      </c>
      <c r="C1" s="14" t="s">
        <v>860</v>
      </c>
      <c r="D1" s="14" t="s">
        <v>973</v>
      </c>
      <c r="E1" s="14" t="s">
        <v>974</v>
      </c>
      <c r="F1" s="14" t="s">
        <v>975</v>
      </c>
    </row>
    <row r="2" customFormat="false" ht="15" hidden="false" customHeight="true" outlineLevel="0" collapsed="false">
      <c r="A2" s="18" t="s">
        <v>22</v>
      </c>
      <c r="B2" s="15" t="s">
        <v>91</v>
      </c>
      <c r="C2" s="18" t="s">
        <v>976</v>
      </c>
      <c r="D2" s="15" t="s">
        <v>977</v>
      </c>
      <c r="E2" s="15" t="s">
        <v>978</v>
      </c>
      <c r="F2" s="15" t="s">
        <v>979</v>
      </c>
    </row>
    <row r="3" customFormat="false" ht="15" hidden="false" customHeight="true" outlineLevel="0" collapsed="false">
      <c r="A3" s="18" t="s">
        <v>22</v>
      </c>
      <c r="B3" s="15" t="s">
        <v>92</v>
      </c>
      <c r="C3" s="18" t="s">
        <v>976</v>
      </c>
      <c r="D3" s="15" t="s">
        <v>980</v>
      </c>
      <c r="E3" s="15"/>
      <c r="F3" s="15" t="s">
        <v>981</v>
      </c>
    </row>
    <row r="4" customFormat="false" ht="15" hidden="false" customHeight="true" outlineLevel="0" collapsed="false">
      <c r="A4" s="18" t="s">
        <v>22</v>
      </c>
      <c r="B4" s="15" t="s">
        <v>93</v>
      </c>
      <c r="C4" s="18" t="s">
        <v>976</v>
      </c>
      <c r="D4" s="15" t="s">
        <v>982</v>
      </c>
      <c r="E4" s="15" t="s">
        <v>983</v>
      </c>
      <c r="F4" s="15" t="s">
        <v>981</v>
      </c>
    </row>
    <row r="5" customFormat="false" ht="23.25" hidden="false" customHeight="true" outlineLevel="0" collapsed="false">
      <c r="A5" s="18" t="s">
        <v>22</v>
      </c>
      <c r="B5" s="15" t="s">
        <v>94</v>
      </c>
      <c r="C5" s="18" t="s">
        <v>976</v>
      </c>
      <c r="D5" s="15" t="s">
        <v>984</v>
      </c>
      <c r="E5" s="15"/>
      <c r="F5" s="15" t="s">
        <v>985</v>
      </c>
    </row>
    <row r="6" customFormat="false" ht="23.25" hidden="false" customHeight="true" outlineLevel="0" collapsed="false">
      <c r="A6" s="18" t="s">
        <v>22</v>
      </c>
      <c r="B6" s="15" t="s">
        <v>986</v>
      </c>
      <c r="C6" s="18" t="s">
        <v>987</v>
      </c>
      <c r="D6" s="15" t="s">
        <v>988</v>
      </c>
      <c r="E6" s="15" t="s">
        <v>989</v>
      </c>
      <c r="F6" s="15" t="s">
        <v>990</v>
      </c>
    </row>
    <row r="7" customFormat="false" ht="15" hidden="false" customHeight="true" outlineLevel="0" collapsed="false">
      <c r="A7" s="18" t="s">
        <v>22</v>
      </c>
      <c r="B7" s="15" t="s">
        <v>99</v>
      </c>
      <c r="C7" s="18" t="s">
        <v>976</v>
      </c>
      <c r="D7" s="15" t="s">
        <v>991</v>
      </c>
      <c r="E7" s="15" t="s">
        <v>123</v>
      </c>
      <c r="F7" s="15" t="s">
        <v>981</v>
      </c>
    </row>
    <row r="8" customFormat="false" ht="15" hidden="false" customHeight="true" outlineLevel="0" collapsed="false">
      <c r="A8" s="18" t="s">
        <v>22</v>
      </c>
      <c r="B8" s="15" t="s">
        <v>100</v>
      </c>
      <c r="C8" s="18" t="s">
        <v>976</v>
      </c>
      <c r="D8" s="15" t="s">
        <v>992</v>
      </c>
      <c r="E8" s="15" t="s">
        <v>123</v>
      </c>
      <c r="F8" s="15" t="s">
        <v>981</v>
      </c>
    </row>
    <row r="9" customFormat="false" ht="15" hidden="false" customHeight="true" outlineLevel="0" collapsed="false">
      <c r="A9" s="18" t="s">
        <v>22</v>
      </c>
      <c r="B9" s="15" t="s">
        <v>101</v>
      </c>
      <c r="C9" s="18" t="s">
        <v>976</v>
      </c>
      <c r="D9" s="15" t="s">
        <v>993</v>
      </c>
      <c r="E9" s="15"/>
      <c r="F9" s="15" t="s">
        <v>981</v>
      </c>
    </row>
    <row r="10" customFormat="false" ht="23.25" hidden="false" customHeight="true" outlineLevel="0" collapsed="false">
      <c r="A10" s="18" t="s">
        <v>22</v>
      </c>
      <c r="B10" s="15" t="s">
        <v>994</v>
      </c>
      <c r="C10" s="18" t="s">
        <v>976</v>
      </c>
      <c r="D10" s="15" t="s">
        <v>995</v>
      </c>
      <c r="E10" s="15"/>
      <c r="F10" s="15" t="s">
        <v>996</v>
      </c>
    </row>
    <row r="11" customFormat="false" ht="15" hidden="false" customHeight="true" outlineLevel="0" collapsed="false">
      <c r="A11" s="18" t="s">
        <v>22</v>
      </c>
      <c r="B11" s="15" t="s">
        <v>111</v>
      </c>
      <c r="C11" s="18" t="s">
        <v>976</v>
      </c>
      <c r="D11" s="15" t="s">
        <v>997</v>
      </c>
      <c r="E11" s="15" t="s">
        <v>131</v>
      </c>
      <c r="F11" s="15" t="s">
        <v>998</v>
      </c>
    </row>
    <row r="12" customFormat="false" ht="23.25" hidden="false" customHeight="true" outlineLevel="0" collapsed="false">
      <c r="A12" s="18" t="s">
        <v>22</v>
      </c>
      <c r="B12" s="15" t="s">
        <v>999</v>
      </c>
      <c r="C12" s="18" t="s">
        <v>976</v>
      </c>
      <c r="D12" s="15" t="s">
        <v>1000</v>
      </c>
      <c r="E12" s="15"/>
      <c r="F12" s="15" t="s">
        <v>1001</v>
      </c>
    </row>
    <row r="13" customFormat="false" ht="15" hidden="false" customHeight="true" outlineLevel="0" collapsed="false">
      <c r="A13" s="18" t="s">
        <v>22</v>
      </c>
      <c r="B13" s="15" t="s">
        <v>115</v>
      </c>
      <c r="C13" s="18" t="s">
        <v>976</v>
      </c>
      <c r="D13" s="15" t="s">
        <v>1002</v>
      </c>
      <c r="E13" s="15" t="s">
        <v>1003</v>
      </c>
      <c r="F13" s="15" t="s">
        <v>1004</v>
      </c>
    </row>
    <row r="14" customFormat="false" ht="15" hidden="false" customHeight="true" outlineLevel="0" collapsed="false">
      <c r="A14" s="18" t="s">
        <v>24</v>
      </c>
      <c r="B14" s="15" t="s">
        <v>193</v>
      </c>
      <c r="C14" s="18" t="s">
        <v>976</v>
      </c>
      <c r="D14" s="15" t="s">
        <v>1005</v>
      </c>
      <c r="E14" s="15"/>
      <c r="F14" s="15" t="s">
        <v>979</v>
      </c>
    </row>
    <row r="15" customFormat="false" ht="15" hidden="false" customHeight="true" outlineLevel="0" collapsed="false">
      <c r="A15" s="18" t="s">
        <v>24</v>
      </c>
      <c r="B15" s="15" t="s">
        <v>194</v>
      </c>
      <c r="C15" s="18" t="s">
        <v>976</v>
      </c>
      <c r="D15" s="15" t="s">
        <v>1006</v>
      </c>
      <c r="E15" s="15"/>
      <c r="F15" s="15" t="s">
        <v>1007</v>
      </c>
    </row>
    <row r="16" customFormat="false" ht="15" hidden="false" customHeight="true" outlineLevel="0" collapsed="false">
      <c r="A16" s="18" t="s">
        <v>24</v>
      </c>
      <c r="B16" s="15" t="s">
        <v>196</v>
      </c>
      <c r="C16" s="18" t="s">
        <v>976</v>
      </c>
      <c r="D16" s="15" t="s">
        <v>1008</v>
      </c>
      <c r="E16" s="15"/>
      <c r="F16" s="15" t="s">
        <v>1009</v>
      </c>
    </row>
    <row r="17" customFormat="false" ht="15" hidden="false" customHeight="true" outlineLevel="0" collapsed="false">
      <c r="A17" s="18" t="s">
        <v>24</v>
      </c>
      <c r="B17" s="15" t="s">
        <v>1010</v>
      </c>
      <c r="C17" s="18" t="s">
        <v>976</v>
      </c>
      <c r="D17" s="15" t="s">
        <v>1011</v>
      </c>
      <c r="E17" s="15"/>
      <c r="F17" s="15" t="s">
        <v>1009</v>
      </c>
    </row>
    <row r="18" customFormat="false" ht="15" hidden="false" customHeight="true" outlineLevel="0" collapsed="false">
      <c r="A18" s="18" t="s">
        <v>24</v>
      </c>
      <c r="B18" s="15" t="s">
        <v>199</v>
      </c>
      <c r="C18" s="18" t="s">
        <v>976</v>
      </c>
      <c r="D18" s="15" t="s">
        <v>1012</v>
      </c>
      <c r="E18" s="15"/>
      <c r="F18" s="15" t="s">
        <v>1009</v>
      </c>
    </row>
    <row r="19" customFormat="false" ht="23.25" hidden="false" customHeight="true" outlineLevel="0" collapsed="false">
      <c r="A19" s="18" t="s">
        <v>24</v>
      </c>
      <c r="B19" s="15" t="s">
        <v>115</v>
      </c>
      <c r="C19" s="18" t="s">
        <v>976</v>
      </c>
      <c r="D19" s="15" t="s">
        <v>1013</v>
      </c>
      <c r="E19" s="15" t="s">
        <v>1014</v>
      </c>
      <c r="F19" s="15" t="s">
        <v>1001</v>
      </c>
    </row>
    <row r="20" customFormat="false" ht="15" hidden="false" customHeight="true" outlineLevel="0" collapsed="false">
      <c r="A20" s="18" t="s">
        <v>24</v>
      </c>
      <c r="B20" s="15" t="s">
        <v>200</v>
      </c>
      <c r="C20" s="18" t="s">
        <v>976</v>
      </c>
      <c r="D20" s="15" t="s">
        <v>1015</v>
      </c>
      <c r="E20" s="15"/>
      <c r="F20" s="15" t="s">
        <v>1016</v>
      </c>
    </row>
    <row r="21" customFormat="false" ht="15" hidden="false" customHeight="true" outlineLevel="0" collapsed="false">
      <c r="A21" s="18" t="s">
        <v>24</v>
      </c>
      <c r="B21" s="15" t="s">
        <v>201</v>
      </c>
      <c r="C21" s="18" t="s">
        <v>976</v>
      </c>
      <c r="D21" s="15" t="s">
        <v>1017</v>
      </c>
      <c r="E21" s="15" t="s">
        <v>212</v>
      </c>
      <c r="F21" s="15" t="s">
        <v>1018</v>
      </c>
    </row>
    <row r="22" customFormat="false" ht="15" hidden="false" customHeight="true" outlineLevel="0" collapsed="false">
      <c r="A22" s="18" t="s">
        <v>26</v>
      </c>
      <c r="B22" s="15" t="s">
        <v>378</v>
      </c>
      <c r="C22" s="18" t="s">
        <v>976</v>
      </c>
      <c r="D22" s="15" t="s">
        <v>1019</v>
      </c>
      <c r="E22" s="15"/>
      <c r="F22" s="15" t="s">
        <v>979</v>
      </c>
    </row>
    <row r="23" customFormat="false" ht="15" hidden="false" customHeight="true" outlineLevel="0" collapsed="false">
      <c r="A23" s="18" t="s">
        <v>26</v>
      </c>
      <c r="B23" s="15" t="s">
        <v>1020</v>
      </c>
      <c r="C23" s="18" t="s">
        <v>976</v>
      </c>
      <c r="D23" s="15" t="s">
        <v>1021</v>
      </c>
      <c r="E23" s="15"/>
      <c r="F23" s="15" t="s">
        <v>979</v>
      </c>
    </row>
    <row r="24" customFormat="false" ht="23.25" hidden="false" customHeight="true" outlineLevel="0" collapsed="false">
      <c r="A24" s="18" t="s">
        <v>26</v>
      </c>
      <c r="B24" s="15" t="s">
        <v>1022</v>
      </c>
      <c r="C24" s="18" t="s">
        <v>1023</v>
      </c>
      <c r="D24" s="15" t="s">
        <v>1024</v>
      </c>
      <c r="E24" s="15" t="s">
        <v>1025</v>
      </c>
      <c r="F24" s="15" t="s">
        <v>1026</v>
      </c>
    </row>
    <row r="25" customFormat="false" ht="15" hidden="false" customHeight="true" outlineLevel="0" collapsed="false">
      <c r="A25" s="18" t="s">
        <v>26</v>
      </c>
      <c r="B25" s="15" t="s">
        <v>379</v>
      </c>
      <c r="C25" s="18" t="s">
        <v>976</v>
      </c>
      <c r="D25" s="15" t="s">
        <v>1027</v>
      </c>
      <c r="E25" s="15" t="s">
        <v>1028</v>
      </c>
      <c r="F25" s="15" t="s">
        <v>1029</v>
      </c>
    </row>
    <row r="26" customFormat="false" ht="23.25" hidden="false" customHeight="true" outlineLevel="0" collapsed="false">
      <c r="A26" s="18" t="s">
        <v>26</v>
      </c>
      <c r="B26" s="15" t="s">
        <v>380</v>
      </c>
      <c r="C26" s="18" t="s">
        <v>976</v>
      </c>
      <c r="D26" s="15" t="s">
        <v>1030</v>
      </c>
      <c r="E26" s="15" t="s">
        <v>1031</v>
      </c>
      <c r="F26" s="15" t="s">
        <v>1029</v>
      </c>
    </row>
    <row r="27" customFormat="false" ht="15" hidden="false" customHeight="true" outlineLevel="0" collapsed="false">
      <c r="A27" s="18" t="s">
        <v>26</v>
      </c>
      <c r="B27" s="15" t="s">
        <v>381</v>
      </c>
      <c r="C27" s="18" t="s">
        <v>1023</v>
      </c>
      <c r="D27" s="15" t="s">
        <v>1032</v>
      </c>
      <c r="E27" s="15" t="s">
        <v>1033</v>
      </c>
      <c r="F27" s="15" t="s">
        <v>1026</v>
      </c>
    </row>
    <row r="28" customFormat="false" ht="23.25" hidden="false" customHeight="true" outlineLevel="0" collapsed="false">
      <c r="A28" s="18" t="s">
        <v>26</v>
      </c>
      <c r="B28" s="15" t="s">
        <v>382</v>
      </c>
      <c r="C28" s="18" t="s">
        <v>976</v>
      </c>
      <c r="D28" s="15" t="s">
        <v>1034</v>
      </c>
      <c r="E28" s="15" t="s">
        <v>1035</v>
      </c>
      <c r="F28" s="15" t="s">
        <v>1029</v>
      </c>
    </row>
    <row r="29" customFormat="false" ht="15" hidden="false" customHeight="true" outlineLevel="0" collapsed="false">
      <c r="A29" s="18" t="s">
        <v>26</v>
      </c>
      <c r="B29" s="15" t="s">
        <v>383</v>
      </c>
      <c r="C29" s="18" t="s">
        <v>51</v>
      </c>
      <c r="D29" s="15" t="s">
        <v>1036</v>
      </c>
      <c r="E29" s="15"/>
      <c r="F29" s="15" t="s">
        <v>1029</v>
      </c>
    </row>
    <row r="30" customFormat="false" ht="15" hidden="false" customHeight="true" outlineLevel="0" collapsed="false">
      <c r="A30" s="18" t="s">
        <v>26</v>
      </c>
      <c r="B30" s="15" t="s">
        <v>384</v>
      </c>
      <c r="C30" s="18" t="s">
        <v>1023</v>
      </c>
      <c r="D30" s="15" t="s">
        <v>1037</v>
      </c>
      <c r="E30" s="15"/>
      <c r="F30" s="15" t="s">
        <v>1026</v>
      </c>
    </row>
    <row r="31" customFormat="false" ht="15" hidden="false" customHeight="true" outlineLevel="0" collapsed="false">
      <c r="A31" s="18" t="s">
        <v>26</v>
      </c>
      <c r="B31" s="15" t="s">
        <v>385</v>
      </c>
      <c r="C31" s="18" t="s">
        <v>1023</v>
      </c>
      <c r="D31" s="15" t="s">
        <v>1038</v>
      </c>
      <c r="E31" s="15"/>
      <c r="F31" s="15" t="s">
        <v>1026</v>
      </c>
    </row>
    <row r="32" customFormat="false" ht="15" hidden="false" customHeight="true" outlineLevel="0" collapsed="false">
      <c r="A32" s="18" t="s">
        <v>26</v>
      </c>
      <c r="B32" s="15" t="s">
        <v>386</v>
      </c>
      <c r="C32" s="18" t="s">
        <v>1023</v>
      </c>
      <c r="D32" s="15" t="s">
        <v>1039</v>
      </c>
      <c r="E32" s="15"/>
      <c r="F32" s="15" t="s">
        <v>1026</v>
      </c>
    </row>
    <row r="33" customFormat="false" ht="15" hidden="false" customHeight="true" outlineLevel="0" collapsed="false">
      <c r="A33" s="18" t="s">
        <v>26</v>
      </c>
      <c r="B33" s="15" t="s">
        <v>387</v>
      </c>
      <c r="C33" s="18" t="s">
        <v>1023</v>
      </c>
      <c r="D33" s="15" t="s">
        <v>1040</v>
      </c>
      <c r="E33" s="15"/>
      <c r="F33" s="15" t="s">
        <v>1026</v>
      </c>
    </row>
    <row r="34" customFormat="false" ht="15" hidden="false" customHeight="true" outlineLevel="0" collapsed="false">
      <c r="A34" s="18" t="s">
        <v>26</v>
      </c>
      <c r="B34" s="15" t="s">
        <v>1041</v>
      </c>
      <c r="C34" s="18" t="s">
        <v>1023</v>
      </c>
      <c r="D34" s="15" t="s">
        <v>1042</v>
      </c>
      <c r="E34" s="15"/>
      <c r="F34" s="15" t="s">
        <v>1026</v>
      </c>
    </row>
    <row r="35" customFormat="false" ht="15" hidden="false" customHeight="true" outlineLevel="0" collapsed="false">
      <c r="A35" s="18" t="s">
        <v>26</v>
      </c>
      <c r="B35" s="15" t="s">
        <v>1043</v>
      </c>
      <c r="C35" s="18" t="s">
        <v>1023</v>
      </c>
      <c r="D35" s="15" t="s">
        <v>1044</v>
      </c>
      <c r="E35" s="15"/>
      <c r="F35" s="15" t="s">
        <v>1026</v>
      </c>
    </row>
    <row r="36" customFormat="false" ht="23.25" hidden="false" customHeight="true" outlineLevel="0" collapsed="false">
      <c r="A36" s="18" t="s">
        <v>28</v>
      </c>
      <c r="B36" s="15" t="s">
        <v>625</v>
      </c>
      <c r="C36" s="18" t="s">
        <v>976</v>
      </c>
      <c r="D36" s="15" t="s">
        <v>1045</v>
      </c>
      <c r="E36" s="15"/>
      <c r="F36" s="15" t="s">
        <v>1029</v>
      </c>
    </row>
    <row r="37" customFormat="false" ht="15" hidden="false" customHeight="true" outlineLevel="0" collapsed="false">
      <c r="A37" s="18" t="s">
        <v>28</v>
      </c>
      <c r="B37" s="15" t="s">
        <v>378</v>
      </c>
      <c r="C37" s="18" t="s">
        <v>976</v>
      </c>
      <c r="D37" s="15" t="s">
        <v>1046</v>
      </c>
      <c r="E37" s="15"/>
      <c r="F37" s="15" t="s">
        <v>979</v>
      </c>
    </row>
    <row r="38" customFormat="false" ht="15" hidden="false" customHeight="true" outlineLevel="0" collapsed="false">
      <c r="A38" s="18" t="s">
        <v>28</v>
      </c>
      <c r="B38" s="15" t="s">
        <v>626</v>
      </c>
      <c r="C38" s="18" t="s">
        <v>976</v>
      </c>
      <c r="D38" s="15" t="s">
        <v>1047</v>
      </c>
      <c r="E38" s="15" t="s">
        <v>1048</v>
      </c>
      <c r="F38" s="15" t="s">
        <v>1029</v>
      </c>
    </row>
    <row r="39" customFormat="false" ht="15" hidden="false" customHeight="true" outlineLevel="0" collapsed="false">
      <c r="A39" s="18" t="s">
        <v>28</v>
      </c>
      <c r="B39" s="15" t="s">
        <v>627</v>
      </c>
      <c r="C39" s="18" t="s">
        <v>976</v>
      </c>
      <c r="D39" s="15" t="s">
        <v>1049</v>
      </c>
      <c r="E39" s="15"/>
      <c r="F39" s="15" t="s">
        <v>1029</v>
      </c>
    </row>
    <row r="40" customFormat="false" ht="15" hidden="false" customHeight="true" outlineLevel="0" collapsed="false">
      <c r="A40" s="18" t="s">
        <v>28</v>
      </c>
      <c r="B40" s="15" t="s">
        <v>1050</v>
      </c>
      <c r="C40" s="18" t="s">
        <v>1051</v>
      </c>
      <c r="D40" s="15" t="s">
        <v>1052</v>
      </c>
      <c r="E40" s="15" t="s">
        <v>1053</v>
      </c>
      <c r="F40" s="15" t="s">
        <v>1054</v>
      </c>
    </row>
    <row r="41" customFormat="false" ht="15" hidden="false" customHeight="true" outlineLevel="0" collapsed="false">
      <c r="A41" s="18" t="s">
        <v>28</v>
      </c>
      <c r="B41" s="15" t="s">
        <v>1055</v>
      </c>
      <c r="C41" s="18" t="s">
        <v>976</v>
      </c>
      <c r="D41" s="15" t="s">
        <v>1056</v>
      </c>
      <c r="E41" s="15" t="s">
        <v>1057</v>
      </c>
      <c r="F41" s="15" t="s">
        <v>1029</v>
      </c>
    </row>
    <row r="42" customFormat="false" ht="15" hidden="false" customHeight="true" outlineLevel="0" collapsed="false">
      <c r="A42" s="18" t="s">
        <v>28</v>
      </c>
      <c r="B42" s="15" t="s">
        <v>634</v>
      </c>
      <c r="C42" s="18" t="s">
        <v>1023</v>
      </c>
      <c r="D42" s="15" t="s">
        <v>1058</v>
      </c>
      <c r="E42" s="15"/>
      <c r="F42" s="15" t="s">
        <v>1026</v>
      </c>
    </row>
    <row r="43" customFormat="false" ht="15" hidden="false" customHeight="true" outlineLevel="0" collapsed="false">
      <c r="A43" s="18" t="s">
        <v>28</v>
      </c>
      <c r="B43" s="15" t="s">
        <v>1059</v>
      </c>
      <c r="C43" s="18" t="s">
        <v>1023</v>
      </c>
      <c r="D43" s="15" t="s">
        <v>1060</v>
      </c>
      <c r="E43" s="15" t="s">
        <v>1061</v>
      </c>
      <c r="F43" s="15" t="s">
        <v>1026</v>
      </c>
    </row>
    <row r="44" customFormat="false" ht="15" hidden="false" customHeight="true" outlineLevel="0" collapsed="false">
      <c r="A44" s="18" t="s">
        <v>30</v>
      </c>
      <c r="B44" s="15" t="s">
        <v>684</v>
      </c>
      <c r="C44" s="18" t="s">
        <v>976</v>
      </c>
      <c r="D44" s="15" t="s">
        <v>1062</v>
      </c>
      <c r="E44" s="15"/>
      <c r="F44" s="15" t="s">
        <v>979</v>
      </c>
    </row>
    <row r="45" customFormat="false" ht="15" hidden="false" customHeight="true" outlineLevel="0" collapsed="false">
      <c r="A45" s="18" t="s">
        <v>30</v>
      </c>
      <c r="B45" s="15" t="s">
        <v>685</v>
      </c>
      <c r="C45" s="18" t="s">
        <v>976</v>
      </c>
      <c r="D45" s="15" t="s">
        <v>1063</v>
      </c>
      <c r="E45" s="15"/>
      <c r="F45" s="15" t="s">
        <v>1029</v>
      </c>
    </row>
    <row r="46" customFormat="false" ht="23.25" hidden="false" customHeight="true" outlineLevel="0" collapsed="false">
      <c r="A46" s="18" t="s">
        <v>30</v>
      </c>
      <c r="B46" s="15" t="s">
        <v>1064</v>
      </c>
      <c r="C46" s="18" t="s">
        <v>1065</v>
      </c>
      <c r="D46" s="15" t="s">
        <v>1066</v>
      </c>
      <c r="E46" s="15" t="s">
        <v>1067</v>
      </c>
      <c r="F46" s="15" t="s">
        <v>1054</v>
      </c>
    </row>
    <row r="47" customFormat="false" ht="15" hidden="false" customHeight="true" outlineLevel="0" collapsed="false">
      <c r="A47" s="18" t="s">
        <v>30</v>
      </c>
      <c r="B47" s="15" t="s">
        <v>690</v>
      </c>
      <c r="C47" s="18" t="s">
        <v>976</v>
      </c>
      <c r="D47" s="15" t="s">
        <v>1068</v>
      </c>
      <c r="E47" s="15"/>
      <c r="F47" s="15" t="s">
        <v>1029</v>
      </c>
    </row>
    <row r="48" customFormat="false" ht="15" hidden="false" customHeight="true" outlineLevel="0" collapsed="false">
      <c r="A48" s="18" t="s">
        <v>30</v>
      </c>
      <c r="B48" s="15" t="s">
        <v>692</v>
      </c>
      <c r="C48" s="18" t="s">
        <v>976</v>
      </c>
      <c r="D48" s="15" t="s">
        <v>1069</v>
      </c>
      <c r="E48" s="15"/>
      <c r="F48" s="15" t="s">
        <v>1029</v>
      </c>
    </row>
    <row r="49" customFormat="false" ht="15" hidden="false" customHeight="true" outlineLevel="0" collapsed="false">
      <c r="A49" s="18" t="s">
        <v>32</v>
      </c>
      <c r="B49" s="15" t="s">
        <v>1070</v>
      </c>
      <c r="C49" s="18" t="s">
        <v>1023</v>
      </c>
      <c r="D49" s="15" t="s">
        <v>1071</v>
      </c>
      <c r="E49" s="15"/>
      <c r="F49" s="15" t="s">
        <v>1072</v>
      </c>
    </row>
    <row r="50" customFormat="false" ht="15" hidden="false" customHeight="true" outlineLevel="0" collapsed="false">
      <c r="A50" s="18" t="s">
        <v>34</v>
      </c>
      <c r="B50" s="15" t="s">
        <v>1070</v>
      </c>
      <c r="C50" s="18" t="s">
        <v>1023</v>
      </c>
      <c r="D50" s="15" t="s">
        <v>1073</v>
      </c>
      <c r="E50" s="15"/>
      <c r="F50" s="15" t="s">
        <v>1026</v>
      </c>
    </row>
    <row r="51" customFormat="false" ht="15" hidden="false" customHeight="true" outlineLevel="0" collapsed="false">
      <c r="A51" s="18" t="s">
        <v>36</v>
      </c>
      <c r="B51" s="15" t="s">
        <v>1074</v>
      </c>
      <c r="C51" s="18" t="s">
        <v>976</v>
      </c>
      <c r="D51" s="15" t="s">
        <v>37</v>
      </c>
      <c r="E51" s="15"/>
      <c r="F51" s="15" t="s">
        <v>1001</v>
      </c>
    </row>
    <row r="52" customFormat="false" ht="15" hidden="false" customHeight="true" outlineLevel="0" collapsed="false">
      <c r="A52" s="18" t="s">
        <v>38</v>
      </c>
      <c r="B52" s="15" t="s">
        <v>1074</v>
      </c>
      <c r="C52" s="18" t="s">
        <v>976</v>
      </c>
      <c r="D52" s="15" t="s">
        <v>1075</v>
      </c>
      <c r="E52" s="15"/>
      <c r="F52" s="15" t="s">
        <v>1076</v>
      </c>
    </row>
  </sheetData>
  <autoFilter ref="A1:F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2026-10-10T16:13:36Z</dcterms:created>
  <dc:creator>openpyxl</dc:creator>
  <dc:description/>
  <dc:language>en-US</dc:language>
  <cp:lastModifiedBy/>
  <dcterms:modified xsi:type="dcterms:W3CDTF">2026-10-11T04:01:36Z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